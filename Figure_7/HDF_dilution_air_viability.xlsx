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kan\OneDrive\Documents\BHMT\MATLAB\BHMT_Lab\Cryoaerosol paper\data\Figure_7\"/>
    </mc:Choice>
  </mc:AlternateContent>
  <xr:revisionPtr revIDLastSave="0" documentId="13_ncr:1_{05647BDC-0E07-4620-BDB7-1B5FA10A01BF}" xr6:coauthVersionLast="47" xr6:coauthVersionMax="47" xr10:uidLastSave="{00000000-0000-0000-0000-000000000000}"/>
  <bookViews>
    <workbookView xWindow="-108" yWindow="-108" windowWidth="30936" windowHeight="17496" xr2:uid="{8E9A40A5-3510-48CC-9FE6-1D9DB5A6B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3" i="1" l="1"/>
  <c r="N15" i="1"/>
  <c r="M7" i="1"/>
  <c r="L12" i="1"/>
  <c r="M12" i="1"/>
  <c r="N12" i="1"/>
  <c r="L13" i="1"/>
  <c r="M13" i="1"/>
  <c r="L14" i="1"/>
  <c r="M14" i="1"/>
  <c r="N14" i="1"/>
  <c r="L15" i="1"/>
  <c r="M15" i="1"/>
  <c r="L16" i="1"/>
  <c r="M16" i="1"/>
  <c r="N16" i="1"/>
  <c r="L5" i="1"/>
  <c r="M5" i="1"/>
  <c r="N5" i="1"/>
  <c r="L6" i="1"/>
  <c r="M6" i="1"/>
  <c r="N6" i="1"/>
  <c r="L7" i="1"/>
  <c r="N7" i="1"/>
  <c r="L8" i="1"/>
  <c r="M8" i="1"/>
  <c r="N8" i="1"/>
  <c r="K6" i="1"/>
  <c r="K7" i="1"/>
  <c r="K8" i="1"/>
  <c r="L4" i="1"/>
  <c r="M4" i="1"/>
  <c r="N4" i="1"/>
  <c r="K15" i="1"/>
  <c r="K16" i="1"/>
  <c r="K14" i="1"/>
  <c r="K13" i="1"/>
  <c r="K5" i="1"/>
  <c r="K12" i="1"/>
  <c r="K4" i="1"/>
</calcChain>
</file>

<file path=xl/sharedStrings.xml><?xml version="1.0" encoding="utf-8"?>
<sst xmlns="http://schemas.openxmlformats.org/spreadsheetml/2006/main" count="50" uniqueCount="14">
  <si>
    <t>35um</t>
  </si>
  <si>
    <t>50um</t>
  </si>
  <si>
    <t>100um</t>
  </si>
  <si>
    <t>150um</t>
  </si>
  <si>
    <t>Dilution air  1LMP</t>
  </si>
  <si>
    <t>Dilution air  0LMP</t>
  </si>
  <si>
    <t>Dilution air  3LMP</t>
  </si>
  <si>
    <t>Dilution air  5LMP</t>
  </si>
  <si>
    <t>Dilution air  10LMP</t>
  </si>
  <si>
    <t>viability</t>
  </si>
  <si>
    <t>sd</t>
  </si>
  <si>
    <t>Experiment 2 averages of 3 trails</t>
  </si>
  <si>
    <t>Experiment 1 averages of 3 trails</t>
  </si>
  <si>
    <t>Experiment 3 averages of 3 trails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</si>
</sst>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BFF6-11C2-4290-8526-6B23A9E8BA39}">
  <dimension ref="B3:N22"/>
  <sheetViews>
    <sheetView tabSelected="1" workbookViewId="0">
      <selection activeCell="H24" sqref="H24"/>
    </sheetView>
  </sheetViews>
  <sheetFormatPr defaultRowHeight="14.4" x14ac:dyDescent="0.3"/>
  <cols>
    <col min="1" max="1" width="11.33203125" bestFit="1" customWidth="1"/>
    <col min="2" max="2" width="26.88671875" bestFit="1" customWidth="1"/>
    <col min="10" max="10" width="15.77734375" bestFit="1" customWidth="1"/>
  </cols>
  <sheetData>
    <row r="3" spans="2:14" x14ac:dyDescent="0.3">
      <c r="B3" t="s">
        <v>12</v>
      </c>
      <c r="C3" t="s">
        <v>0</v>
      </c>
      <c r="D3" t="s">
        <v>1</v>
      </c>
      <c r="E3" t="s">
        <v>2</v>
      </c>
      <c r="F3" t="s">
        <v>3</v>
      </c>
      <c r="J3" t="s">
        <v>9</v>
      </c>
      <c r="K3" t="s">
        <v>0</v>
      </c>
      <c r="L3" t="s">
        <v>1</v>
      </c>
      <c r="M3" t="s">
        <v>2</v>
      </c>
      <c r="N3" t="s">
        <v>3</v>
      </c>
    </row>
    <row r="4" spans="2:14" x14ac:dyDescent="0.3">
      <c r="B4" t="s">
        <v>5</v>
      </c>
      <c r="C4">
        <v>100</v>
      </c>
      <c r="D4">
        <v>100</v>
      </c>
      <c r="E4">
        <v>99</v>
      </c>
      <c r="F4">
        <v>99</v>
      </c>
      <c r="J4" t="s">
        <v>5</v>
      </c>
      <c r="K4">
        <f>AVERAGE(C4,C11,C18)</f>
        <v>98</v>
      </c>
      <c r="L4">
        <f t="shared" ref="L4:N4" si="0">AVERAGE(D4,D11,D18)</f>
        <v>97</v>
      </c>
      <c r="M4">
        <f t="shared" si="0"/>
        <v>99.333333333333329</v>
      </c>
      <c r="N4">
        <f t="shared" si="0"/>
        <v>99</v>
      </c>
    </row>
    <row r="5" spans="2:14" x14ac:dyDescent="0.3">
      <c r="B5" t="s">
        <v>4</v>
      </c>
      <c r="C5">
        <v>100</v>
      </c>
      <c r="D5">
        <v>99</v>
      </c>
      <c r="E5">
        <v>100</v>
      </c>
      <c r="F5">
        <v>100</v>
      </c>
      <c r="J5" t="s">
        <v>4</v>
      </c>
      <c r="K5">
        <f>AVERAGE(C5,C12,C19)</f>
        <v>97</v>
      </c>
      <c r="L5">
        <f t="shared" ref="L5:N8" si="1">AVERAGE(D5,D12,D19)</f>
        <v>95.666666666666671</v>
      </c>
      <c r="M5">
        <f t="shared" si="1"/>
        <v>96.666666666666671</v>
      </c>
      <c r="N5">
        <f t="shared" si="1"/>
        <v>99</v>
      </c>
    </row>
    <row r="6" spans="2:14" x14ac:dyDescent="0.3">
      <c r="B6" t="s">
        <v>6</v>
      </c>
      <c r="C6">
        <v>100</v>
      </c>
      <c r="D6">
        <v>99</v>
      </c>
      <c r="E6">
        <v>96</v>
      </c>
      <c r="F6">
        <v>99</v>
      </c>
      <c r="J6" t="s">
        <v>6</v>
      </c>
      <c r="K6">
        <f t="shared" ref="K6:K8" si="2">AVERAGE(C6,C13,C20)</f>
        <v>99</v>
      </c>
      <c r="L6">
        <f t="shared" si="1"/>
        <v>96.666666666666671</v>
      </c>
      <c r="M6">
        <f t="shared" si="1"/>
        <v>97</v>
      </c>
      <c r="N6">
        <f t="shared" si="1"/>
        <v>94</v>
      </c>
    </row>
    <row r="7" spans="2:14" x14ac:dyDescent="0.3">
      <c r="B7" t="s">
        <v>7</v>
      </c>
      <c r="C7">
        <v>98</v>
      </c>
      <c r="D7">
        <v>98</v>
      </c>
      <c r="E7">
        <v>99</v>
      </c>
      <c r="F7">
        <v>97</v>
      </c>
      <c r="J7" t="s">
        <v>7</v>
      </c>
      <c r="K7">
        <f t="shared" si="2"/>
        <v>94.333333333333329</v>
      </c>
      <c r="L7">
        <f t="shared" si="1"/>
        <v>95.333333333333329</v>
      </c>
      <c r="M7">
        <f>AVERAGE(E7,E14,E21)</f>
        <v>98.333333333333329</v>
      </c>
      <c r="N7">
        <f t="shared" si="1"/>
        <v>96</v>
      </c>
    </row>
    <row r="8" spans="2:14" x14ac:dyDescent="0.3">
      <c r="B8" t="s">
        <v>8</v>
      </c>
      <c r="C8">
        <v>84</v>
      </c>
      <c r="D8">
        <v>89</v>
      </c>
      <c r="E8">
        <v>96</v>
      </c>
      <c r="F8">
        <v>96</v>
      </c>
      <c r="J8" t="s">
        <v>8</v>
      </c>
      <c r="K8">
        <f t="shared" si="2"/>
        <v>68.666666666666671</v>
      </c>
      <c r="L8">
        <f t="shared" si="1"/>
        <v>84.333333333333329</v>
      </c>
      <c r="M8">
        <f t="shared" si="1"/>
        <v>93</v>
      </c>
      <c r="N8">
        <f t="shared" si="1"/>
        <v>94</v>
      </c>
    </row>
    <row r="10" spans="2:14" x14ac:dyDescent="0.3">
      <c r="B10" t="s">
        <v>11</v>
      </c>
      <c r="C10" t="s">
        <v>0</v>
      </c>
      <c r="D10" t="s">
        <v>1</v>
      </c>
      <c r="E10" t="s">
        <v>2</v>
      </c>
      <c r="F10" t="s">
        <v>3</v>
      </c>
    </row>
    <row r="11" spans="2:14" x14ac:dyDescent="0.3">
      <c r="B11" t="s">
        <v>5</v>
      </c>
      <c r="C11">
        <v>100</v>
      </c>
      <c r="D11">
        <v>93</v>
      </c>
      <c r="E11">
        <v>100</v>
      </c>
      <c r="F11">
        <v>100</v>
      </c>
      <c r="J11" t="s">
        <v>10</v>
      </c>
      <c r="K11" t="s">
        <v>0</v>
      </c>
      <c r="L11" t="s">
        <v>1</v>
      </c>
      <c r="M11" t="s">
        <v>2</v>
      </c>
      <c r="N11" t="s">
        <v>3</v>
      </c>
    </row>
    <row r="12" spans="2:14" x14ac:dyDescent="0.3">
      <c r="B12" t="s">
        <v>4</v>
      </c>
      <c r="C12">
        <v>96</v>
      </c>
      <c r="D12">
        <v>96</v>
      </c>
      <c r="E12">
        <v>97</v>
      </c>
      <c r="F12">
        <v>99</v>
      </c>
      <c r="J12" t="s">
        <v>5</v>
      </c>
      <c r="K12">
        <f>_xlfn.STDEV.S(C4,C11,C18)</f>
        <v>3.4641016151377544</v>
      </c>
      <c r="L12">
        <f t="shared" ref="L12:N12" si="3">_xlfn.STDEV.S(D4,D11,D18)</f>
        <v>3.6055512754639891</v>
      </c>
      <c r="M12">
        <f t="shared" si="3"/>
        <v>0.57735026918962573</v>
      </c>
      <c r="N12">
        <f t="shared" si="3"/>
        <v>1</v>
      </c>
    </row>
    <row r="13" spans="2:14" x14ac:dyDescent="0.3">
      <c r="B13" t="s">
        <v>6</v>
      </c>
      <c r="C13">
        <v>97</v>
      </c>
      <c r="D13">
        <v>96</v>
      </c>
      <c r="E13">
        <v>99</v>
      </c>
      <c r="F13">
        <v>92</v>
      </c>
      <c r="J13" t="s">
        <v>4</v>
      </c>
      <c r="K13">
        <f>_xlfn.STDEV.S(C5,C12,C19)</f>
        <v>2.6457513110645907</v>
      </c>
      <c r="L13">
        <f t="shared" ref="L13:N13" si="4">_xlfn.STDEV.S(D5,D12,D19)</f>
        <v>3.5118845842842461</v>
      </c>
      <c r="M13">
        <f t="shared" si="4"/>
        <v>3.5118845842842461</v>
      </c>
      <c r="N13">
        <f>_xlfn.STDEV.S(F5,F12,F19)</f>
        <v>1</v>
      </c>
    </row>
    <row r="14" spans="2:14" x14ac:dyDescent="0.3">
      <c r="B14" t="s">
        <v>7</v>
      </c>
      <c r="C14">
        <v>95</v>
      </c>
      <c r="D14">
        <v>94</v>
      </c>
      <c r="E14">
        <v>97</v>
      </c>
      <c r="F14">
        <v>99</v>
      </c>
      <c r="J14" t="s">
        <v>6</v>
      </c>
      <c r="K14">
        <f>_xlfn.STDEV.S(C6,C13,C20)</f>
        <v>1.7320508075688772</v>
      </c>
      <c r="L14">
        <f t="shared" ref="L14:N16" si="5">_xlfn.STDEV.S(D6,D13,D20)</f>
        <v>2.0816659994661331</v>
      </c>
      <c r="M14">
        <f t="shared" si="5"/>
        <v>1.7320508075688772</v>
      </c>
      <c r="N14">
        <f t="shared" si="5"/>
        <v>4.358898943540674</v>
      </c>
    </row>
    <row r="15" spans="2:14" x14ac:dyDescent="0.3">
      <c r="B15" t="s">
        <v>8</v>
      </c>
      <c r="C15">
        <v>52</v>
      </c>
      <c r="D15">
        <v>90</v>
      </c>
      <c r="E15">
        <v>94</v>
      </c>
      <c r="F15">
        <v>97</v>
      </c>
      <c r="J15" t="s">
        <v>7</v>
      </c>
      <c r="K15">
        <f t="shared" ref="K15:K16" si="6">_xlfn.STDEV.S(C7,C14,C21)</f>
        <v>4.0414518843273806</v>
      </c>
      <c r="L15">
        <f t="shared" si="5"/>
        <v>2.3094010767585034</v>
      </c>
      <c r="M15">
        <f t="shared" si="5"/>
        <v>1.1547005383792517</v>
      </c>
      <c r="N15">
        <f>_xlfn.STDEV.S(F7,F14,F21)</f>
        <v>3.6055512754639891</v>
      </c>
    </row>
    <row r="16" spans="2:14" x14ac:dyDescent="0.3">
      <c r="J16" t="s">
        <v>8</v>
      </c>
      <c r="K16">
        <f t="shared" si="6"/>
        <v>16.041612554021278</v>
      </c>
      <c r="L16">
        <f t="shared" si="5"/>
        <v>8.9628864398325021</v>
      </c>
      <c r="M16">
        <f t="shared" si="5"/>
        <v>3.6055512754639891</v>
      </c>
      <c r="N16">
        <f t="shared" si="5"/>
        <v>4.358898943540674</v>
      </c>
    </row>
    <row r="17" spans="2:6" x14ac:dyDescent="0.3">
      <c r="B17" t="s">
        <v>13</v>
      </c>
      <c r="C17" t="s">
        <v>0</v>
      </c>
      <c r="D17" t="s">
        <v>1</v>
      </c>
      <c r="E17" t="s">
        <v>2</v>
      </c>
      <c r="F17" t="s">
        <v>3</v>
      </c>
    </row>
    <row r="18" spans="2:6" x14ac:dyDescent="0.3">
      <c r="B18" t="s">
        <v>5</v>
      </c>
      <c r="C18">
        <v>94</v>
      </c>
      <c r="D18">
        <v>98</v>
      </c>
      <c r="E18">
        <v>99</v>
      </c>
      <c r="F18">
        <v>98</v>
      </c>
    </row>
    <row r="19" spans="2:6" x14ac:dyDescent="0.3">
      <c r="B19" t="s">
        <v>4</v>
      </c>
      <c r="C19">
        <v>95</v>
      </c>
      <c r="D19">
        <v>92</v>
      </c>
      <c r="E19">
        <v>93</v>
      </c>
      <c r="F19">
        <v>98</v>
      </c>
    </row>
    <row r="20" spans="2:6" x14ac:dyDescent="0.3">
      <c r="B20" t="s">
        <v>6</v>
      </c>
      <c r="C20">
        <v>100</v>
      </c>
      <c r="D20">
        <v>95</v>
      </c>
      <c r="E20">
        <v>96</v>
      </c>
      <c r="F20">
        <v>91</v>
      </c>
    </row>
    <row r="21" spans="2:6" x14ac:dyDescent="0.3">
      <c r="B21" t="s">
        <v>7</v>
      </c>
      <c r="C21">
        <v>90</v>
      </c>
      <c r="D21">
        <v>94</v>
      </c>
      <c r="E21">
        <v>99</v>
      </c>
      <c r="F21">
        <v>92</v>
      </c>
    </row>
    <row r="22" spans="2:6" x14ac:dyDescent="0.3">
      <c r="B22" t="s">
        <v>8</v>
      </c>
      <c r="C22">
        <v>70</v>
      </c>
      <c r="D22">
        <v>74</v>
      </c>
      <c r="E22">
        <v>89</v>
      </c>
      <c r="F22">
        <v>89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kangas</dc:creator>
  <cp:lastModifiedBy>joe kangas</cp:lastModifiedBy>
  <dcterms:created xsi:type="dcterms:W3CDTF">2026-08-31T21:26:51Z</dcterms:created>
  <dcterms:modified xsi:type="dcterms:W3CDTF">2026-08-31T22:54:42Z</dcterms:modified>
</cp:coreProperties>
</file>