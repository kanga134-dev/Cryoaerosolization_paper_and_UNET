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1535bfcaa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af2e291c9ae9463a"/>
    <x:sheet xmlns:r="http://schemas.openxmlformats.org/officeDocument/2006/relationships" name="Spray Only" sheetId="2" r:id="R0ed97a9b63cc48b5"/>
    <x:sheet xmlns:r="http://schemas.openxmlformats.org/officeDocument/2006/relationships" name="Cryoaerosolization and Rewarmin" sheetId="3" r:id="R36d1464d6fb94327"/>
    <x:sheet xmlns:r="http://schemas.openxmlformats.org/officeDocument/2006/relationships" name="convective cooling and rewarmin" sheetId="4" r:id="R738aaede08aa412c"/>
  </x:sheets>
</x:workbook>
</file>

<file path=xl/sharedStrings.xml><?xml version="1.0" encoding="utf-8"?>
<x:sst xmlns:x="http://schemas.openxmlformats.org/spreadsheetml/2006/main">
  <x:si>
    <x:t xml:space="preserve">live cells</x:t>
  </x:si>
  <x:si>
    <x:t xml:space="preserve">dead cells</x:t>
  </x:si>
  <x:si>
    <x:t xml:space="preserve">HDF Control Viability </x:t>
  </x:si>
  <x:si>
    <x:t xml:space="preserve">experiment</x:t>
  </x:si>
  <x:si>
    <x:t xml:space="preserve">T1</x:t>
  </x:si>
  <x:si>
    <x:t xml:space="preserve">T2</x:t>
  </x:si>
  <x:si>
    <x:t xml:space="preserve">T3</x:t>
  </x:si>
  <x:si>
    <x:t xml:space="preserve">T4</x:t>
  </x:si>
  <x:si>
    <x:t xml:space="preserve">T5</x:t>
  </x:si>
  <x:si>
    <x:t xml:space="preserve">T6</x:t>
  </x:si>
  <x:si>
    <x:t xml:space="preserve">mean </x:t>
  </x:si>
  <x:si>
    <x:t xml:space="preserve">std</x:t>
  </x:si>
  <x:si>
    <x:t xml:space="preserve">Hoescht/PI</x:t>
  </x:si>
  <x:si>
    <x:t xml:space="preserve">Live cells</x:t>
  </x:si>
  <x:si>
    <x:t xml:space="preserve">Dead cells</x:t>
  </x:si>
  <x:si>
    <x:t xml:space="preserve">HDF Spray only Viability (1.5 L/min dilution air, 100um orifice, 2.4 mL/min flow rate)</x:t>
  </x:si>
  <x:si>
    <x:t xml:space="preserve">mean</x:t>
  </x:si>
  <x:si>
    <x:t xml:space="preserve">HDF Cryoaerosol and rewarming</x:t>
  </x:si>
  <x:si>
    <x:t xml:space="preserve">HDF Convective cooling and rewarming</x:t>
  </x:si>
</x:sst>
</file>

<file path=xl/styles.xml><?xml version="1.0" encoding="utf-8"?>
<x:styleSheet xmlns:x="http://schemas.openxmlformats.org/spreadsheetml/2006/main">
  <x:numFmts count="1">
    <x:numFmt numFmtId="200" formatCode="0.000"/>
  </x:numFmts>
  <x:fonts count="1">
    <x:font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1ac9f3ba3e4677" /><Relationship Type="http://schemas.openxmlformats.org/officeDocument/2006/relationships/theme" Target="/xl/theme/theme1.xml" Id="R632c4fa63aa6454a" /><Relationship Type="http://schemas.openxmlformats.org/officeDocument/2006/relationships/sharedStrings" Target="/xl/sharedStrings.xml" Id="Redfcd7decae1448d" /><Relationship Type="http://schemas.openxmlformats.org/officeDocument/2006/relationships/worksheet" Target="/xl/worksheets/sheet1.xml" Id="Raf2e291c9ae9463a" /><Relationship Type="http://schemas.openxmlformats.org/officeDocument/2006/relationships/worksheet" Target="/xl/worksheets/sheet2.xml" Id="R0ed97a9b63cc48b5" /><Relationship Type="http://schemas.openxmlformats.org/officeDocument/2006/relationships/worksheet" Target="/xl/worksheets/sheet3.xml" Id="R36d1464d6fb94327" /><Relationship Type="http://schemas.openxmlformats.org/officeDocument/2006/relationships/worksheet" Target="/xl/worksheets/sheet4.xml" Id="R738aaede08aa412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2" max="2" width="9.109375" customWidth="1"/>
    <x:col min="3" max="3" width="17.88671875" customWidth="1"/>
    <x:col min="4" max="4" width="10" customWidth="1"/>
    <x:col min="7" max="7" width="8.2187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F1" t="s">
        <x:v>4</x:v>
      </x:c>
      <x:c r="G1" t="s">
        <x:v>5</x:v>
      </x:c>
      <x:c r="H1" t="s">
        <x:v>6</x:v>
      </x:c>
      <x:c r="I1" t="s">
        <x:v>7</x:v>
      </x:c>
      <x:c r="J1" t="s">
        <x:v>8</x:v>
      </x:c>
      <x:c r="K1" t="s">
        <x:v>9</x:v>
      </x:c>
      <x:c r="L1" t="s">
        <x:v>10</x:v>
      </x:c>
      <x:c r="M1" t="s">
        <x:v>11</x:v>
      </x:c>
    </x:row>
    <x:row r="2">
      <x:c r="A2">
        <x:v>192</x:v>
      </x:c>
      <x:c r="B2">
        <x:v>0</x:v>
      </x:c>
      <x:c r="C2" t="n">
        <x:f>A2/(A2+B2)*100</x:f>
        <x:v>100</x:v>
      </x:c>
      <x:c r="D2">
        <x:v>1</x:v>
      </x:c>
      <x:c r="F2" s="1" t="n">
        <x:f>AVERAGE(C2:C8)</x:f>
        <x:v>99.16830965787041</x:v>
      </x:c>
      <x:c r="G2" s="1" t="n">
        <x:f>AVERAGE(C9:C15)</x:f>
        <x:v>98.76908286851229</x:v>
      </x:c>
      <x:c r="H2" s="1" t="n">
        <x:f>AVERAGE(C16:C22)</x:f>
        <x:v>98.80056311056003</x:v>
      </x:c>
      <x:c r="I2" s="1" t="n">
        <x:f>AVERAGE(C23:C29)</x:f>
        <x:v>97.85320703651864</x:v>
      </x:c>
      <x:c r="J2" s="1" t="n">
        <x:f>AVERAGE(C30:C32)</x:f>
        <x:v>99.07292517830301</x:v>
      </x:c>
      <x:c r="K2" s="1" t="n">
        <x:f>AVERAGE(C33:C35)</x:f>
        <x:v>98.82375675679077</x:v>
      </x:c>
      <x:c r="L2" s="1" t="n">
        <x:f>AVERAGE(F2:K2)</x:f>
        <x:v>98.74797410142587</x:v>
      </x:c>
      <x:c r="M2" s="1" t="n">
        <x:f>_xlfn.STDEV.S(F2:K2)</x:f>
        <x:v>0.4672980799450453</x:v>
      </x:c>
    </x:row>
    <x:row r="3">
      <x:c r="A3">
        <x:v>359</x:v>
      </x:c>
      <x:c r="B3">
        <x:v>3</x:v>
      </x:c>
      <x:c r="C3" t="n">
        <x:f t="shared" ref="C3:C35" si="0">A3/(A3+B3)*100</x:f>
        <x:v>99.17127071823204</x:v>
      </x:c>
      <x:c r="D3">
        <x:v>1</x:v>
      </x:c>
    </x:row>
    <x:row r="4">
      <x:c r="A4">
        <x:v>127</x:v>
      </x:c>
      <x:c r="B4">
        <x:v>1</x:v>
      </x:c>
      <x:c r="C4">
        <x:f t="shared" si="0"/>
        <x:v>99.21875</x:v>
      </x:c>
      <x:c r="D4">
        <x:v>1</x:v>
      </x:c>
    </x:row>
    <x:row r="5">
      <x:c r="A5">
        <x:v>211</x:v>
      </x:c>
      <x:c r="B5">
        <x:v>4</x:v>
      </x:c>
      <x:c r="C5">
        <x:f t="shared" si="0"/>
        <x:v>98.139534883720927</x:v>
      </x:c>
      <x:c r="D5">
        <x:v>1</x:v>
      </x:c>
    </x:row>
    <x:row r="6">
      <x:c r="A6">
        <x:v>161</x:v>
      </x:c>
      <x:c r="B6">
        <x:v>1</x:v>
      </x:c>
      <x:c r="C6">
        <x:f t="shared" si="0"/>
        <x:v>99.382716049382708</x:v>
      </x:c>
      <x:c r="D6">
        <x:v>1</x:v>
      </x:c>
    </x:row>
    <x:row r="7">
      <x:c r="A7">
        <x:v>170</x:v>
      </x:c>
      <x:c r="B7">
        <x:v>3</x:v>
      </x:c>
      <x:c r="C7">
        <x:f t="shared" si="0"/>
        <x:v>98.265895953757223</x:v>
      </x:c>
      <x:c r="D7">
        <x:v>1</x:v>
      </x:c>
    </x:row>
    <x:row r="8">
      <x:c r="A8">
        <x:v>129</x:v>
      </x:c>
      <x:c r="B8">
        <x:v>0</x:v>
      </x:c>
      <x:c r="C8">
        <x:f t="shared" si="0"/>
        <x:v>100</x:v>
      </x:c>
      <x:c r="D8">
        <x:v>1</x:v>
      </x:c>
    </x:row>
    <x:row r="9">
      <x:c r="A9">
        <x:v>168</x:v>
      </x:c>
      <x:c r="B9">
        <x:v>5</x:v>
      </x:c>
      <x:c r="C9">
        <x:f t="shared" si="0"/>
        <x:v>97.109826589595372</x:v>
      </x:c>
      <x:c r="D9">
        <x:v>2</x:v>
      </x:c>
    </x:row>
    <x:row r="10">
      <x:c r="A10">
        <x:v>179</x:v>
      </x:c>
      <x:c r="B10">
        <x:v>5</x:v>
      </x:c>
      <x:c r="C10">
        <x:f t="shared" si="0"/>
        <x:v>97.282608695652172</x:v>
      </x:c>
      <x:c r="D10">
        <x:v>2</x:v>
      </x:c>
    </x:row>
    <x:row r="11">
      <x:c r="A11">
        <x:v>119</x:v>
      </x:c>
      <x:c r="B11">
        <x:v>2</x:v>
      </x:c>
      <x:c r="C11">
        <x:f t="shared" si="0"/>
        <x:v>98.347107438016536</x:v>
      </x:c>
      <x:c r="D11">
        <x:v>2</x:v>
      </x:c>
    </x:row>
    <x:row r="12">
      <x:c r="A12">
        <x:v>127</x:v>
      </x:c>
      <x:c r="B12">
        <x:v>1</x:v>
      </x:c>
      <x:c r="C12">
        <x:f t="shared" si="0"/>
        <x:v>99.21875</x:v>
      </x:c>
      <x:c r="D12">
        <x:v>2</x:v>
      </x:c>
    </x:row>
    <x:row r="13">
      <x:c r="A13">
        <x:v>111</x:v>
      </x:c>
      <x:c r="B13">
        <x:v>0</x:v>
      </x:c>
      <x:c r="C13">
        <x:f t="shared" si="0"/>
        <x:v>100</x:v>
      </x:c>
      <x:c r="D13">
        <x:v>2</x:v>
      </x:c>
    </x:row>
    <x:row r="14">
      <x:c r="A14">
        <x:v>120</x:v>
      </x:c>
      <x:c r="B14">
        <x:v>0</x:v>
      </x:c>
      <x:c r="C14">
        <x:f t="shared" si="0"/>
        <x:v>100</x:v>
      </x:c>
      <x:c r="D14">
        <x:v>2</x:v>
      </x:c>
    </x:row>
    <x:row r="15">
      <x:c r="A15">
        <x:v>173</x:v>
      </x:c>
      <x:c r="B15">
        <x:v>1</x:v>
      </x:c>
      <x:c r="C15">
        <x:f t="shared" si="0"/>
        <x:v>99.425287356321832</x:v>
      </x:c>
      <x:c r="D15">
        <x:v>2</x:v>
      </x:c>
    </x:row>
    <x:row r="16">
      <x:c r="A16">
        <x:v>50</x:v>
      </x:c>
      <x:c r="B16">
        <x:v>0</x:v>
      </x:c>
      <x:c r="C16">
        <x:f t="shared" si="0"/>
        <x:v>100</x:v>
      </x:c>
      <x:c r="D16">
        <x:v>3</x:v>
      </x:c>
    </x:row>
    <x:row r="17">
      <x:c r="A17">
        <x:v>256</x:v>
      </x:c>
      <x:c r="B17">
        <x:v>5</x:v>
      </x:c>
      <x:c r="C17">
        <x:f t="shared" si="0"/>
        <x:v>98.084291187739453</x:v>
      </x:c>
      <x:c r="D17">
        <x:v>3</x:v>
      </x:c>
    </x:row>
    <x:row r="18">
      <x:c r="A18">
        <x:v>96</x:v>
      </x:c>
      <x:c r="B18">
        <x:v>2</x:v>
      </x:c>
      <x:c r="C18">
        <x:f t="shared" si="0"/>
        <x:v>97.959183673469383</x:v>
      </x:c>
      <x:c r="D18">
        <x:v>3</x:v>
      </x:c>
    </x:row>
    <x:row r="19">
      <x:c r="A19">
        <x:v>188</x:v>
      </x:c>
      <x:c r="B19">
        <x:v>3</x:v>
      </x:c>
      <x:c r="C19">
        <x:f t="shared" si="0"/>
        <x:v>98.429319371727757</x:v>
      </x:c>
      <x:c r="D19">
        <x:v>3</x:v>
      </x:c>
    </x:row>
    <x:row r="20">
      <x:c r="A20">
        <x:v>175</x:v>
      </x:c>
      <x:c r="B20">
        <x:v>0</x:v>
      </x:c>
      <x:c r="C20">
        <x:f t="shared" si="0"/>
        <x:v>100</x:v>
      </x:c>
      <x:c r="D20">
        <x:v>3</x:v>
      </x:c>
    </x:row>
    <x:row r="21">
      <x:c r="A21">
        <x:v>116</x:v>
      </x:c>
      <x:c r="B21">
        <x:v>0</x:v>
      </x:c>
      <x:c r="C21">
        <x:f t="shared" si="0"/>
        <x:v>100</x:v>
      </x:c>
      <x:c r="D21">
        <x:v>3</x:v>
      </x:c>
    </x:row>
    <x:row r="22">
      <x:c r="A22">
        <x:v>237</x:v>
      </x:c>
      <x:c r="B22">
        <x:v>7</x:v>
      </x:c>
      <x:c r="C22">
        <x:f t="shared" si="0"/>
        <x:v>97.131147540983605</x:v>
      </x:c>
      <x:c r="D22">
        <x:v>3</x:v>
      </x:c>
    </x:row>
    <x:row r="23">
      <x:c r="A23">
        <x:v>66</x:v>
      </x:c>
      <x:c r="B23">
        <x:v>1</x:v>
      </x:c>
      <x:c r="C23">
        <x:f t="shared" si="0"/>
        <x:v>98.507462686567166</x:v>
      </x:c>
      <x:c r="D23">
        <x:v>4</x:v>
      </x:c>
    </x:row>
    <x:row r="24">
      <x:c r="A24">
        <x:v>173</x:v>
      </x:c>
      <x:c r="B24">
        <x:v>1</x:v>
      </x:c>
      <x:c r="C24">
        <x:f t="shared" si="0"/>
        <x:v>99.425287356321832</x:v>
      </x:c>
      <x:c r="D24">
        <x:v>4</x:v>
      </x:c>
    </x:row>
    <x:row r="25">
      <x:c r="A25">
        <x:v>99</x:v>
      </x:c>
      <x:c r="B25">
        <x:v>8</x:v>
      </x:c>
      <x:c r="C25">
        <x:f t="shared" si="0"/>
        <x:v>92.523364485981304</x:v>
      </x:c>
      <x:c r="D25">
        <x:v>4</x:v>
      </x:c>
    </x:row>
    <x:row r="26">
      <x:c r="A26">
        <x:v>124</x:v>
      </x:c>
      <x:c r="B26">
        <x:v>5</x:v>
      </x:c>
      <x:c r="C26">
        <x:f t="shared" si="0"/>
        <x:v>96.124031007751938</x:v>
      </x:c>
      <x:c r="D26">
        <x:v>4</x:v>
      </x:c>
    </x:row>
    <x:row r="27">
      <x:c r="A27">
        <x:v>127</x:v>
      </x:c>
      <x:c r="B27">
        <x:v>1</x:v>
      </x:c>
      <x:c r="C27">
        <x:f t="shared" si="0"/>
        <x:v>99.21875</x:v>
      </x:c>
      <x:c r="D27">
        <x:v>4</x:v>
      </x:c>
    </x:row>
    <x:row r="28">
      <x:c r="A28">
        <x:v>120</x:v>
      </x:c>
      <x:c r="B28">
        <x:v>1</x:v>
      </x:c>
      <x:c r="C28">
        <x:f t="shared" si="0"/>
        <x:v>99.173553719008268</x:v>
      </x:c>
      <x:c r="D28">
        <x:v>4</x:v>
      </x:c>
    </x:row>
    <x:row r="29">
      <x:c r="A29">
        <x:v>168</x:v>
      </x:c>
      <x:c r="B29">
        <x:v>0</x:v>
      </x:c>
      <x:c r="C29">
        <x:f t="shared" si="0"/>
        <x:v>100</x:v>
      </x:c>
      <x:c r="D29">
        <x:v>4</x:v>
      </x:c>
    </x:row>
    <x:row r="30">
      <x:c r="A30">
        <x:v>189</x:v>
      </x:c>
      <x:c r="B30">
        <x:v>2</x:v>
      </x:c>
      <x:c r="C30">
        <x:f t="shared" si="0"/>
        <x:v>98.952879581151834</x:v>
      </x:c>
      <x:c r="D30">
        <x:v>5</x:v>
      </x:c>
    </x:row>
    <x:row r="31">
      <x:c r="A31">
        <x:v>146</x:v>
      </x:c>
      <x:c r="B31">
        <x:v>0</x:v>
      </x:c>
      <x:c r="C31">
        <x:f t="shared" si="0"/>
        <x:v>100</x:v>
      </x:c>
      <x:c r="D31">
        <x:v>5</x:v>
      </x:c>
    </x:row>
    <x:row r="32">
      <x:c r="A32">
        <x:v>170</x:v>
      </x:c>
      <x:c r="B32">
        <x:v>3</x:v>
      </x:c>
      <x:c r="C32">
        <x:f t="shared" si="0"/>
        <x:v>98.265895953757223</x:v>
      </x:c>
      <x:c r="D32">
        <x:v>5</x:v>
      </x:c>
    </x:row>
    <x:row r="33">
      <x:c r="A33">
        <x:v>1440</x:v>
      </x:c>
      <x:c r="B33">
        <x:v>13</x:v>
      </x:c>
      <x:c r="C33">
        <x:f t="shared" si="0"/>
        <x:v>99.105299380591887</x:v>
      </x:c>
      <x:c r="D33">
        <x:v>6</x:v>
      </x:c>
      <x:c r="E33" t="s">
        <x:v>12</x:v>
      </x:c>
    </x:row>
    <x:row r="34">
      <x:c r="A34">
        <x:v>1216</x:v>
      </x:c>
      <x:c r="B34">
        <x:v>9</x:v>
      </x:c>
      <x:c r="C34">
        <x:f t="shared" si="0"/>
        <x:v>99.265306122448976</x:v>
      </x:c>
      <x:c r="D34">
        <x:v>6</x:v>
      </x:c>
      <x:c r="E34" t="s">
        <x:v>12</x:v>
      </x:c>
    </x:row>
    <x:row r="35">
      <x:c r="A35">
        <x:v>1033</x:v>
      </x:c>
      <x:c r="B35">
        <x:v>20</x:v>
      </x:c>
      <x:c r="C35">
        <x:f t="shared" si="0"/>
        <x:v>98.100664767331438</x:v>
      </x:c>
      <x:c r="D35">
        <x:v>6</x:v>
      </x:c>
      <x:c r="E35" t="s"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4" max="4" width="67.5546875" customWidth="1"/>
    <x:col min="5" max="5" width="10" customWidth="1"/>
  </x:cols>
  <x:sheetData>
    <x:row r="1">
      <x:c r="B1" t="s">
        <x:v>13</x:v>
      </x:c>
      <x:c r="C1" t="s">
        <x:v>14</x:v>
      </x:c>
      <x:c r="D1" t="s">
        <x:v>15</x:v>
      </x:c>
      <x:c r="E1" t="s">
        <x:v>3</x:v>
      </x:c>
      <x:c r="G1" t="s">
        <x:v>4</x:v>
      </x:c>
      <x:c r="H1" t="s">
        <x:v>5</x:v>
      </x:c>
      <x:c r="I1" t="s">
        <x:v>6</x:v>
      </x:c>
      <x:c r="J1" t="s">
        <x:v>7</x:v>
      </x:c>
      <x:c r="K1" t="s">
        <x:v>8</x:v>
      </x:c>
      <x:c r="L1" t="s">
        <x:v>9</x:v>
      </x:c>
      <x:c r="M1" t="s">
        <x:v>16</x:v>
      </x:c>
      <x:c r="N1" t="s">
        <x:v>11</x:v>
      </x:c>
    </x:row>
    <x:row r="2">
      <x:c r="B2">
        <x:v>143</x:v>
      </x:c>
      <x:c r="C2">
        <x:v>1</x:v>
      </x:c>
      <x:c r="D2" t="n">
        <x:f>B2/(C2+B2)*100</x:f>
        <x:v>99.30555555555556</x:v>
      </x:c>
      <x:c r="E2">
        <x:v>1</x:v>
      </x:c>
      <x:c r="G2" s="1" t="n">
        <x:f>AVERAGE(D2:D8)</x:f>
        <x:v>97.8904470080305</x:v>
      </x:c>
      <x:c r="H2" s="1" t="n">
        <x:f>AVERAGE(D9:D15)</x:f>
        <x:v>91.98385239414962</x:v>
      </x:c>
      <x:c r="I2" s="1" t="n">
        <x:f>AVERAGE(D16:D22)</x:f>
        <x:v>95.7495591210894</x:v>
      </x:c>
      <x:c r="J2" s="1" t="n">
        <x:f>AVERAGE(D23:D29)</x:f>
        <x:v>96.03024950454922</x:v>
      </x:c>
      <x:c r="K2" s="1" t="n">
        <x:f>AVERAGE(D30:D34)</x:f>
        <x:v>93.43877338193252</x:v>
      </x:c>
      <x:c r="L2" s="1" t="n">
        <x:f>AVERAGE(D35:D37)</x:f>
        <x:v>96.04715771447837</x:v>
      </x:c>
      <x:c r="M2" s="1" t="n">
        <x:f>AVERAGE(G2:L2)</x:f>
        <x:v>95.19000652070493</x:v>
      </x:c>
      <x:c r="N2" s="1" t="n">
        <x:f>_xlfn.STDEV.S(G2:L2)</x:f>
        <x:v>2.116243661237208</x:v>
      </x:c>
    </x:row>
    <x:row r="3">
      <x:c r="B3">
        <x:v>162</x:v>
      </x:c>
      <x:c r="C3">
        <x:v>0</x:v>
      </x:c>
      <x:c r="D3" t="n">
        <x:f t="shared" ref="D3:D37" si="0">B3/(C3+B3)*100</x:f>
        <x:v>100</x:v>
      </x:c>
      <x:c r="E3">
        <x:v>1</x:v>
      </x:c>
    </x:row>
    <x:row r="4">
      <x:c r="B4">
        <x:v>158</x:v>
      </x:c>
      <x:c r="C4">
        <x:v>3</x:v>
      </x:c>
      <x:c r="D4">
        <x:f t="shared" si="0"/>
        <x:v>98.136645962732914</x:v>
      </x:c>
      <x:c r="E4">
        <x:v>1</x:v>
      </x:c>
    </x:row>
    <x:row r="5">
      <x:c r="B5">
        <x:v>190</x:v>
      </x:c>
      <x:c r="C5">
        <x:v>3</x:v>
      </x:c>
      <x:c r="D5">
        <x:f t="shared" si="0"/>
        <x:v>98.445595854922274</x:v>
      </x:c>
      <x:c r="E5">
        <x:v>1</x:v>
      </x:c>
    </x:row>
    <x:row r="6">
      <x:c r="B6">
        <x:v>161</x:v>
      </x:c>
      <x:c r="C6">
        <x:v>18</x:v>
      </x:c>
      <x:c r="D6">
        <x:f t="shared" si="0"/>
        <x:v>89.944134078212286</x:v>
      </x:c>
      <x:c r="E6">
        <x:v>1</x:v>
      </x:c>
    </x:row>
    <x:row r="7">
      <x:c r="B7">
        <x:v>90</x:v>
      </x:c>
      <x:c r="C7">
        <x:v>0</x:v>
      </x:c>
      <x:c r="D7">
        <x:f t="shared" si="0"/>
        <x:v>100</x:v>
      </x:c>
      <x:c r="E7">
        <x:v>1</x:v>
      </x:c>
    </x:row>
    <x:row r="8">
      <x:c r="B8">
        <x:v>166</x:v>
      </x:c>
      <x:c r="C8">
        <x:v>1</x:v>
      </x:c>
      <x:c r="D8">
        <x:f t="shared" si="0"/>
        <x:v>99.401197604790411</x:v>
      </x:c>
      <x:c r="E8">
        <x:v>1</x:v>
      </x:c>
    </x:row>
    <x:row r="9">
      <x:c r="B9">
        <x:v>94</x:v>
      </x:c>
      <x:c r="C9">
        <x:v>15</x:v>
      </x:c>
      <x:c r="D9">
        <x:f t="shared" si="0"/>
        <x:v>86.238532110091754</x:v>
      </x:c>
      <x:c r="E9">
        <x:v>2</x:v>
      </x:c>
    </x:row>
    <x:row r="10">
      <x:c r="B10">
        <x:v>270</x:v>
      </x:c>
      <x:c r="C10">
        <x:v>11</x:v>
      </x:c>
      <x:c r="D10">
        <x:f t="shared" si="0"/>
        <x:v>96.085409252669038</x:v>
      </x:c>
      <x:c r="E10">
        <x:v>2</x:v>
      </x:c>
    </x:row>
    <x:row r="11">
      <x:c r="B11">
        <x:v>174</x:v>
      </x:c>
      <x:c r="C11">
        <x:v>5</x:v>
      </x:c>
      <x:c r="D11">
        <x:f t="shared" si="0"/>
        <x:v>97.206703910614522</x:v>
      </x:c>
      <x:c r="E11">
        <x:v>2</x:v>
      </x:c>
    </x:row>
    <x:row r="12">
      <x:c r="B12">
        <x:v>59</x:v>
      </x:c>
      <x:c r="C12">
        <x:v>21</x:v>
      </x:c>
      <x:c r="D12">
        <x:f t="shared" si="0"/>
        <x:v>73.75</x:v>
      </x:c>
      <x:c r="E12">
        <x:v>2</x:v>
      </x:c>
    </x:row>
    <x:row r="13">
      <x:c r="B13">
        <x:v>143</x:v>
      </x:c>
      <x:c r="C13">
        <x:v>0</x:v>
      </x:c>
      <x:c r="D13">
        <x:f t="shared" si="0"/>
        <x:v>100</x:v>
      </x:c>
      <x:c r="E13">
        <x:v>2</x:v>
      </x:c>
    </x:row>
    <x:row r="14">
      <x:c r="B14">
        <x:v>217</x:v>
      </x:c>
      <x:c r="C14">
        <x:v>18</x:v>
      </x:c>
      <x:c r="D14">
        <x:f t="shared" si="0"/>
        <x:v>92.340425531914889</x:v>
      </x:c>
      <x:c r="E14">
        <x:v>2</x:v>
      </x:c>
    </x:row>
    <x:row r="15">
      <x:c r="B15">
        <x:v>170</x:v>
      </x:c>
      <x:c r="C15">
        <x:v>3</x:v>
      </x:c>
      <x:c r="D15">
        <x:f t="shared" si="0"/>
        <x:v>98.265895953757223</x:v>
      </x:c>
      <x:c r="E15">
        <x:v>2</x:v>
      </x:c>
    </x:row>
    <x:row r="16">
      <x:c r="B16">
        <x:v>134</x:v>
      </x:c>
      <x:c r="C16">
        <x:v>2</x:v>
      </x:c>
      <x:c r="D16">
        <x:f t="shared" si="0"/>
        <x:v>98.529411764705884</x:v>
      </x:c>
      <x:c r="E16">
        <x:v>3</x:v>
      </x:c>
    </x:row>
    <x:row r="17">
      <x:c r="B17">
        <x:v>150</x:v>
      </x:c>
      <x:c r="C17">
        <x:v>26</x:v>
      </x:c>
      <x:c r="D17">
        <x:f t="shared" si="0"/>
        <x:v>85.227272727272734</x:v>
      </x:c>
      <x:c r="E17">
        <x:v>3</x:v>
      </x:c>
    </x:row>
    <x:row r="18">
      <x:c r="B18">
        <x:v>86</x:v>
      </x:c>
      <x:c r="C18">
        <x:v>1</x:v>
      </x:c>
      <x:c r="D18">
        <x:f t="shared" si="0"/>
        <x:v>98.850574712643677</x:v>
      </x:c>
      <x:c r="E18">
        <x:v>3</x:v>
      </x:c>
    </x:row>
    <x:row r="19">
      <x:c r="B19">
        <x:v>143</x:v>
      </x:c>
      <x:c r="C19">
        <x:v>10</x:v>
      </x:c>
      <x:c r="D19">
        <x:f t="shared" si="0"/>
        <x:v>93.464052287581694</x:v>
      </x:c>
      <x:c r="E19">
        <x:v>3</x:v>
      </x:c>
    </x:row>
    <x:row r="20">
      <x:c r="B20">
        <x:v>179</x:v>
      </x:c>
      <x:c r="C20">
        <x:v>1</x:v>
      </x:c>
      <x:c r="D20">
        <x:f t="shared" si="0"/>
        <x:v>99.444444444444443</x:v>
      </x:c>
      <x:c r="E20">
        <x:v>3</x:v>
      </x:c>
    </x:row>
    <x:row r="21">
      <x:c r="B21">
        <x:v>83</x:v>
      </x:c>
      <x:c r="C21">
        <x:v>4</x:v>
      </x:c>
      <x:c r="D21">
        <x:f t="shared" si="0"/>
        <x:v>95.402298850574709</x:v>
      </x:c>
      <x:c r="E21">
        <x:v>3</x:v>
      </x:c>
    </x:row>
    <x:row r="22">
      <x:c r="B22">
        <x:v>148</x:v>
      </x:c>
      <x:c r="C22">
        <x:v>1</x:v>
      </x:c>
      <x:c r="D22">
        <x:f t="shared" si="0"/>
        <x:v>99.328859060402692</x:v>
      </x:c>
      <x:c r="E22">
        <x:v>3</x:v>
      </x:c>
    </x:row>
    <x:row r="23">
      <x:c r="B23">
        <x:v>132</x:v>
      </x:c>
      <x:c r="C23">
        <x:v>4</x:v>
      </x:c>
      <x:c r="D23">
        <x:f t="shared" si="0"/>
        <x:v>97.058823529411768</x:v>
      </x:c>
      <x:c r="E23">
        <x:v>4</x:v>
      </x:c>
    </x:row>
    <x:row r="24">
      <x:c r="B24">
        <x:v>165</x:v>
      </x:c>
      <x:c r="C24">
        <x:v>8</x:v>
      </x:c>
      <x:c r="D24">
        <x:f t="shared" si="0"/>
        <x:v>95.375722543352609</x:v>
      </x:c>
      <x:c r="E24">
        <x:v>4</x:v>
      </x:c>
    </x:row>
    <x:row r="25">
      <x:c r="B25">
        <x:v>233</x:v>
      </x:c>
      <x:c r="C25">
        <x:v>10</x:v>
      </x:c>
      <x:c r="D25">
        <x:f t="shared" si="0"/>
        <x:v>95.884773662551439</x:v>
      </x:c>
      <x:c r="E25">
        <x:v>4</x:v>
      </x:c>
    </x:row>
    <x:row r="26">
      <x:c r="B26">
        <x:v>143</x:v>
      </x:c>
      <x:c r="C26">
        <x:v>0</x:v>
      </x:c>
      <x:c r="D26">
        <x:f t="shared" si="0"/>
        <x:v>100</x:v>
      </x:c>
      <x:c r="E26">
        <x:v>4</x:v>
      </x:c>
    </x:row>
    <x:row r="27">
      <x:c r="B27">
        <x:v>59</x:v>
      </x:c>
      <x:c r="C27">
        <x:v>1</x:v>
      </x:c>
      <x:c r="D27">
        <x:f t="shared" si="0"/>
        <x:v>98.333333333333329</x:v>
      </x:c>
      <x:c r="E27">
        <x:v>4</x:v>
      </x:c>
    </x:row>
    <x:row r="28">
      <x:c r="B28">
        <x:v>136</x:v>
      </x:c>
      <x:c r="C28">
        <x:v>16</x:v>
      </x:c>
      <x:c r="D28">
        <x:f t="shared" si="0"/>
        <x:v>89.473684210526315</x:v>
      </x:c>
      <x:c r="E28">
        <x:v>4</x:v>
      </x:c>
    </x:row>
    <x:row r="29">
      <x:c r="B29">
        <x:v>270</x:v>
      </x:c>
      <x:c r="C29">
        <x:v>11</x:v>
      </x:c>
      <x:c r="D29">
        <x:f t="shared" si="0"/>
        <x:v>96.085409252669038</x:v>
      </x:c>
      <x:c r="E29">
        <x:v>4</x:v>
      </x:c>
    </x:row>
    <x:row r="30">
      <x:c r="B30">
        <x:v>89</x:v>
      </x:c>
      <x:c r="C30">
        <x:v>7</x:v>
      </x:c>
      <x:c r="D30">
        <x:f t="shared" si="0"/>
        <x:v>92.708333333333343</x:v>
      </x:c>
      <x:c r="E30">
        <x:v>5</x:v>
      </x:c>
    </x:row>
    <x:row r="31">
      <x:c r="B31">
        <x:v>183</x:v>
      </x:c>
      <x:c r="C31">
        <x:v>11</x:v>
      </x:c>
      <x:c r="D31">
        <x:f t="shared" si="0"/>
        <x:v>94.329896907216494</x:v>
      </x:c>
      <x:c r="E31">
        <x:v>5</x:v>
      </x:c>
    </x:row>
    <x:row r="32">
      <x:c r="B32">
        <x:v>88</x:v>
      </x:c>
      <x:c r="C32">
        <x:v>15</x:v>
      </x:c>
      <x:c r="D32">
        <x:f t="shared" si="0"/>
        <x:v>85.436893203883486</x:v>
      </x:c>
      <x:c r="E32">
        <x:v>5</x:v>
      </x:c>
    </x:row>
    <x:row r="33">
      <x:c r="B33">
        <x:v>217</x:v>
      </x:c>
      <x:c r="C33">
        <x:v>6</x:v>
      </x:c>
      <x:c r="D33">
        <x:f t="shared" si="0"/>
        <x:v>97.309417040358753</x:v>
      </x:c>
      <x:c r="E33">
        <x:v>5</x:v>
      </x:c>
    </x:row>
    <x:row r="34">
      <x:c r="B34">
        <x:v>188</x:v>
      </x:c>
      <x:c r="C34">
        <x:v>5</x:v>
      </x:c>
      <x:c r="D34">
        <x:f t="shared" si="0"/>
        <x:v>97.409326424870471</x:v>
      </x:c>
      <x:c r="E34">
        <x:v>5</x:v>
      </x:c>
    </x:row>
    <x:row r="35">
      <x:c r="B35">
        <x:v>1294</x:v>
      </x:c>
      <x:c r="C35">
        <x:v>91</x:v>
      </x:c>
      <x:c r="D35">
        <x:f t="shared" si="0"/>
        <x:v>93.429602888086634</x:v>
      </x:c>
      <x:c r="E35">
        <x:v>6</x:v>
      </x:c>
      <x:c r="F35" t="s">
        <x:v>12</x:v>
      </x:c>
    </x:row>
    <x:row r="36">
      <x:c r="B36">
        <x:v>1621</x:v>
      </x:c>
      <x:c r="C36">
        <x:v>35</x:v>
      </x:c>
      <x:c r="D36">
        <x:f t="shared" si="0"/>
        <x:v>97.886473429951693</x:v>
      </x:c>
      <x:c r="E36">
        <x:v>6</x:v>
      </x:c>
      <x:c r="F36" t="s">
        <x:v>12</x:v>
      </x:c>
    </x:row>
    <x:row r="37">
      <x:c r="B37">
        <x:v>1708</x:v>
      </x:c>
      <x:c r="C37">
        <x:v>56</x:v>
      </x:c>
      <x:c r="D37">
        <x:f t="shared" si="0"/>
        <x:v>96.825396825396822</x:v>
      </x:c>
      <x:c r="E37">
        <x:v>6</x:v>
      </x:c>
      <x:c r="F37" t="s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4" max="4" width="27.21875" customWidth="1"/>
    <x:col min="5" max="5" width="10" customWidth="1"/>
  </x:cols>
  <x:sheetData>
    <x:row r="1">
      <x:c r="B1" t="s">
        <x:v>13</x:v>
      </x:c>
      <x:c r="C1" t="s">
        <x:v>14</x:v>
      </x:c>
      <x:c r="D1" t="s">
        <x:v>17</x:v>
      </x:c>
      <x:c r="E1" t="s">
        <x:v>3</x:v>
      </x:c>
      <x:c r="G1" t="s">
        <x:v>4</x:v>
      </x:c>
      <x:c r="H1" t="s">
        <x:v>5</x:v>
      </x:c>
      <x:c r="I1" t="s">
        <x:v>6</x:v>
      </x:c>
      <x:c r="J1" t="s">
        <x:v>7</x:v>
      </x:c>
      <x:c r="K1" t="s">
        <x:v>8</x:v>
      </x:c>
      <x:c r="L1" t="s">
        <x:v>9</x:v>
      </x:c>
      <x:c r="M1" t="s">
        <x:v>16</x:v>
      </x:c>
      <x:c r="N1" t="s">
        <x:v>11</x:v>
      </x:c>
    </x:row>
    <x:row r="2">
      <x:c r="B2">
        <x:v>205</x:v>
      </x:c>
      <x:c r="C2">
        <x:v>36</x:v>
      </x:c>
      <x:c r="D2" t="n">
        <x:f>B2/(B2+C2)*100</x:f>
        <x:v>85.06224066390041</x:v>
      </x:c>
      <x:c r="E2">
        <x:v>1</x:v>
      </x:c>
      <x:c r="G2" s="1" t="n">
        <x:f>AVERAGE(D2:D8)</x:f>
        <x:v>83.62394762803868</x:v>
      </x:c>
      <x:c r="H2" s="1" t="n">
        <x:f>AVERAGE(D9:D15)</x:f>
        <x:v>96.78189849900777</x:v>
      </x:c>
      <x:c r="I2" s="1" t="n">
        <x:f>AVERAGE(D16:D22)</x:f>
        <x:v>85.0997099583083</x:v>
      </x:c>
      <x:c r="J2" s="1" t="n">
        <x:f>AVERAGE(D23:D29)</x:f>
        <x:v>93.29386282106121</x:v>
      </x:c>
      <x:c r="K2" s="1" t="n">
        <x:f>AVERAGE(D30:D34)</x:f>
        <x:v>92.85613684199502</x:v>
      </x:c>
      <x:c r="L2" s="1" t="n">
        <x:f>AVERAGE(D35:D37)</x:f>
        <x:v>91.06001654794011</x:v>
      </x:c>
      <x:c r="M2" s="1" t="n">
        <x:f>AVERAGE(G2:L2)</x:f>
        <x:v>90.45259538272519</x:v>
      </x:c>
      <x:c r="N2" s="1" t="n">
        <x:f>_xlfn.STDEV.S(G2:L2)</x:f>
        <x:v>5.090435406462454</x:v>
      </x:c>
    </x:row>
    <x:row r="3">
      <x:c r="B3">
        <x:v>151</x:v>
      </x:c>
      <x:c r="C3">
        <x:v>24</x:v>
      </x:c>
      <x:c r="D3" t="n">
        <x:f t="shared" ref="D3" si="0">B3/(B3+C3)*100</x:f>
        <x:v>86.28571428571429</x:v>
      </x:c>
      <x:c r="E3">
        <x:v>1</x:v>
      </x:c>
    </x:row>
    <x:row r="4">
      <x:c r="B4">
        <x:v>169</x:v>
      </x:c>
      <x:c r="C4">
        <x:v>51</x:v>
      </x:c>
      <x:c r="D4" t="n">
        <x:f t="shared" ref="D4:D37" si="1">B4/(B4+C4)*100</x:f>
        <x:v>76.81818181818181</x:v>
      </x:c>
      <x:c r="E4">
        <x:v>1</x:v>
      </x:c>
    </x:row>
    <x:row r="5">
      <x:c r="B5">
        <x:v>205</x:v>
      </x:c>
      <x:c r="C5">
        <x:v>27</x:v>
      </x:c>
      <x:c r="D5">
        <x:f t="shared" si="1"/>
        <x:v>88.362068965517238</x:v>
      </x:c>
      <x:c r="E5">
        <x:v>1</x:v>
      </x:c>
    </x:row>
    <x:row r="6">
      <x:c r="B6">
        <x:v>128</x:v>
      </x:c>
      <x:c r="C6">
        <x:v>20</x:v>
      </x:c>
      <x:c r="D6">
        <x:f t="shared" si="1"/>
        <x:v>86.486486486486484</x:v>
      </x:c>
      <x:c r="E6">
        <x:v>1</x:v>
      </x:c>
    </x:row>
    <x:row r="7">
      <x:c r="B7">
        <x:v>162</x:v>
      </x:c>
      <x:c r="C7">
        <x:v>76</x:v>
      </x:c>
      <x:c r="D7">
        <x:f t="shared" si="1"/>
        <x:v>68.067226890756302</x:v>
      </x:c>
      <x:c r="E7">
        <x:v>1</x:v>
      </x:c>
    </x:row>
    <x:row r="8">
      <x:c r="B8">
        <x:v>297</x:v>
      </x:c>
      <x:c r="C8">
        <x:v>18</x:v>
      </x:c>
      <x:c r="D8">
        <x:f t="shared" si="1"/>
        <x:v>94.285714285714278</x:v>
      </x:c>
      <x:c r="E8">
        <x:v>1</x:v>
      </x:c>
    </x:row>
    <x:row r="9">
      <x:c r="B9">
        <x:v>94</x:v>
      </x:c>
      <x:c r="C9">
        <x:v>3</x:v>
      </x:c>
      <x:c r="D9">
        <x:f t="shared" si="1"/>
        <x:v>96.907216494845358</x:v>
      </x:c>
      <x:c r="E9">
        <x:v>2</x:v>
      </x:c>
    </x:row>
    <x:row r="10">
      <x:c r="B10">
        <x:v>64</x:v>
      </x:c>
      <x:c r="C10">
        <x:v>0</x:v>
      </x:c>
      <x:c r="D10">
        <x:f t="shared" si="1"/>
        <x:v>100</x:v>
      </x:c>
      <x:c r="E10">
        <x:v>2</x:v>
      </x:c>
    </x:row>
    <x:row r="11">
      <x:c r="B11">
        <x:v>173</x:v>
      </x:c>
      <x:c r="C11">
        <x:v>11</x:v>
      </x:c>
      <x:c r="D11">
        <x:f t="shared" si="1"/>
        <x:v>94.021739130434781</x:v>
      </x:c>
      <x:c r="E11">
        <x:v>2</x:v>
      </x:c>
    </x:row>
    <x:row r="12">
      <x:c r="B12">
        <x:v>202</x:v>
      </x:c>
      <x:c r="C12">
        <x:v>9</x:v>
      </x:c>
      <x:c r="D12">
        <x:f t="shared" si="1"/>
        <x:v>95.73459715639811</x:v>
      </x:c>
      <x:c r="E12">
        <x:v>2</x:v>
      </x:c>
    </x:row>
    <x:row r="13">
      <x:c r="B13">
        <x:v>176</x:v>
      </x:c>
      <x:c r="C13">
        <x:v>7</x:v>
      </x:c>
      <x:c r="D13">
        <x:f t="shared" si="1"/>
        <x:v>96.174863387978135</x:v>
      </x:c>
      <x:c r="E13">
        <x:v>2</x:v>
      </x:c>
    </x:row>
    <x:row r="14">
      <x:c r="B14">
        <x:v>168</x:v>
      </x:c>
      <x:c r="C14">
        <x:v>8</x:v>
      </x:c>
      <x:c r="D14">
        <x:f t="shared" si="1"/>
        <x:v>95.454545454545453</x:v>
      </x:c>
      <x:c r="E14">
        <x:v>2</x:v>
      </x:c>
    </x:row>
    <x:row r="15">
      <x:c r="B15">
        <x:v>363</x:v>
      </x:c>
      <x:c r="C15">
        <x:v>3</x:v>
      </x:c>
      <x:c r="D15">
        <x:f t="shared" si="1"/>
        <x:v>99.180327868852459</x:v>
      </x:c>
      <x:c r="E15">
        <x:v>2</x:v>
      </x:c>
    </x:row>
    <x:row r="16">
      <x:c r="B16">
        <x:v>155</x:v>
      </x:c>
      <x:c r="C16">
        <x:v>23</x:v>
      </x:c>
      <x:c r="D16">
        <x:f t="shared" si="1"/>
        <x:v>87.078651685393254</x:v>
      </x:c>
      <x:c r="E16">
        <x:v>3</x:v>
      </x:c>
    </x:row>
    <x:row r="17">
      <x:c r="B17">
        <x:v>178</x:v>
      </x:c>
      <x:c r="C17">
        <x:v>22</x:v>
      </x:c>
      <x:c r="D17">
        <x:f t="shared" si="1"/>
        <x:v>89</x:v>
      </x:c>
      <x:c r="E17">
        <x:v>3</x:v>
      </x:c>
    </x:row>
    <x:row r="18">
      <x:c r="B18">
        <x:v>46</x:v>
      </x:c>
      <x:c r="C18">
        <x:v>20</x:v>
      </x:c>
      <x:c r="D18">
        <x:f t="shared" si="1"/>
        <x:v>69.696969696969703</x:v>
      </x:c>
      <x:c r="E18">
        <x:v>3</x:v>
      </x:c>
    </x:row>
    <x:row r="19">
      <x:c r="B19">
        <x:v>161</x:v>
      </x:c>
      <x:c r="C19">
        <x:v>53</x:v>
      </x:c>
      <x:c r="D19">
        <x:f t="shared" si="1"/>
        <x:v>75.233644859813083</x:v>
      </x:c>
      <x:c r="E19">
        <x:v>3</x:v>
      </x:c>
    </x:row>
    <x:row r="20">
      <x:c r="B20">
        <x:v>196</x:v>
      </x:c>
      <x:c r="C20">
        <x:v>9</x:v>
      </x:c>
      <x:c r="D20">
        <x:f t="shared" si="1"/>
        <x:v>95.609756097560975</x:v>
      </x:c>
      <x:c r="E20">
        <x:v>3</x:v>
      </x:c>
    </x:row>
    <x:row r="21">
      <x:c r="B21">
        <x:v>42</x:v>
      </x:c>
      <x:c r="C21">
        <x:v>6</x:v>
      </x:c>
      <x:c r="D21">
        <x:f t="shared" si="1"/>
        <x:v>87.5</x:v>
      </x:c>
      <x:c r="E21">
        <x:v>3</x:v>
      </x:c>
    </x:row>
    <x:row r="22">
      <x:c r="B22">
        <x:v>174</x:v>
      </x:c>
      <x:c r="C22">
        <x:v>16</x:v>
      </x:c>
      <x:c r="D22">
        <x:f t="shared" si="1"/>
        <x:v>91.578947368421055</x:v>
      </x:c>
      <x:c r="E22">
        <x:v>3</x:v>
      </x:c>
    </x:row>
    <x:row r="23">
      <x:c r="B23">
        <x:v>205</x:v>
      </x:c>
      <x:c r="C23">
        <x:v>10</x:v>
      </x:c>
      <x:c r="D23">
        <x:f t="shared" si="1"/>
        <x:v>95.348837209302332</x:v>
      </x:c>
      <x:c r="E23">
        <x:v>4</x:v>
      </x:c>
    </x:row>
    <x:row r="24">
      <x:c r="B24">
        <x:v>323</x:v>
      </x:c>
      <x:c r="C24">
        <x:v>24</x:v>
      </x:c>
      <x:c r="D24">
        <x:f t="shared" si="1"/>
        <x:v>93.0835734870317</x:v>
      </x:c>
      <x:c r="E24">
        <x:v>4</x:v>
      </x:c>
    </x:row>
    <x:row r="25">
      <x:c r="B25">
        <x:v>166</x:v>
      </x:c>
      <x:c r="C25">
        <x:v>10</x:v>
      </x:c>
      <x:c r="D25">
        <x:f t="shared" si="1"/>
        <x:v>94.318181818181827</x:v>
      </x:c>
      <x:c r="E25">
        <x:v>4</x:v>
      </x:c>
    </x:row>
    <x:row r="26">
      <x:c r="B26">
        <x:v>178</x:v>
      </x:c>
      <x:c r="C26">
        <x:v>19</x:v>
      </x:c>
      <x:c r="D26">
        <x:f t="shared" si="1"/>
        <x:v>90.35532994923858</x:v>
      </x:c>
      <x:c r="E26">
        <x:v>4</x:v>
      </x:c>
    </x:row>
    <x:row r="27">
      <x:c r="B27">
        <x:v>210</x:v>
      </x:c>
      <x:c r="C27">
        <x:v>11</x:v>
      </x:c>
      <x:c r="D27">
        <x:f t="shared" si="1"/>
        <x:v>95.02262443438913</x:v>
      </x:c>
      <x:c r="E27">
        <x:v>4</x:v>
      </x:c>
    </x:row>
    <x:row r="28">
      <x:c r="B28">
        <x:v>194</x:v>
      </x:c>
      <x:c r="C28">
        <x:v>8</x:v>
      </x:c>
      <x:c r="D28">
        <x:f t="shared" si="1"/>
        <x:v>96.039603960396036</x:v>
      </x:c>
      <x:c r="E28">
        <x:v>4</x:v>
      </x:c>
    </x:row>
    <x:row r="29">
      <x:c r="B29">
        <x:v>64</x:v>
      </x:c>
      <x:c r="C29">
        <x:v>8</x:v>
      </x:c>
      <x:c r="D29">
        <x:f t="shared" si="1"/>
        <x:v>88.888888888888886</x:v>
      </x:c>
      <x:c r="E29">
        <x:v>4</x:v>
      </x:c>
    </x:row>
    <x:row r="30">
      <x:c r="B30">
        <x:v>71</x:v>
      </x:c>
      <x:c r="C30">
        <x:v>3</x:v>
      </x:c>
      <x:c r="D30">
        <x:f t="shared" si="1"/>
        <x:v>95.945945945945937</x:v>
      </x:c>
      <x:c r="E30">
        <x:v>5</x:v>
      </x:c>
    </x:row>
    <x:row r="31">
      <x:c r="B31">
        <x:v>270</x:v>
      </x:c>
      <x:c r="C31">
        <x:v>26</x:v>
      </x:c>
      <x:c r="D31">
        <x:f t="shared" si="1"/>
        <x:v>91.21621621621621</x:v>
      </x:c>
      <x:c r="E31">
        <x:v>5</x:v>
      </x:c>
    </x:row>
    <x:row r="32">
      <x:c r="B32">
        <x:v>164</x:v>
      </x:c>
      <x:c r="C32">
        <x:v>14</x:v>
      </x:c>
      <x:c r="D32">
        <x:f t="shared" si="1"/>
        <x:v>92.134831460674164</x:v>
      </x:c>
      <x:c r="E32">
        <x:v>5</x:v>
      </x:c>
    </x:row>
    <x:row r="33">
      <x:c r="B33">
        <x:v>143</x:v>
      </x:c>
      <x:c r="C33">
        <x:v>5</x:v>
      </x:c>
      <x:c r="D33">
        <x:f t="shared" si="1"/>
        <x:v>96.621621621621628</x:v>
      </x:c>
      <x:c r="E33">
        <x:v>5</x:v>
      </x:c>
    </x:row>
    <x:row r="34">
      <x:c r="B34">
        <x:v>205</x:v>
      </x:c>
      <x:c r="C34">
        <x:v>27</x:v>
      </x:c>
      <x:c r="D34">
        <x:f t="shared" si="1"/>
        <x:v>88.362068965517238</x:v>
      </x:c>
      <x:c r="E34">
        <x:v>5</x:v>
      </x:c>
    </x:row>
    <x:row r="35">
      <x:c r="B35">
        <x:v>1645</x:v>
      </x:c>
      <x:c r="C35">
        <x:v>86</x:v>
      </x:c>
      <x:c r="D35">
        <x:f t="shared" si="1"/>
        <x:v>95.031773541305611</x:v>
      </x:c>
      <x:c r="E35">
        <x:v>6</x:v>
      </x:c>
      <x:c r="F35" t="s">
        <x:v>12</x:v>
      </x:c>
    </x:row>
    <x:row r="36">
      <x:c r="B36">
        <x:v>1859</x:v>
      </x:c>
      <x:c r="C36">
        <x:v>302</x:v>
      </x:c>
      <x:c r="D36">
        <x:f t="shared" si="1"/>
        <x:v>86.024988431281812</x:v>
      </x:c>
      <x:c r="E36">
        <x:v>6</x:v>
      </x:c>
      <x:c r="F36" t="s">
        <x:v>12</x:v>
      </x:c>
    </x:row>
    <x:row r="37">
      <x:c r="B37">
        <x:v>1345</x:v>
      </x:c>
      <x:c r="C37">
        <x:v>115</x:v>
      </x:c>
      <x:c r="D37">
        <x:f t="shared" si="1"/>
        <x:v>92.123287671232873</x:v>
      </x:c>
      <x:c r="E37">
        <x:v>6</x:v>
      </x:c>
      <x:c r="F37" t="s">
        <x:v>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4" max="4" width="32.5546875" customWidth="1"/>
    <x:col min="5" max="5" width="10" customWidth="1"/>
  </x:cols>
  <x:sheetData>
    <x:row r="1">
      <x:c r="B1" t="s">
        <x:v>0</x:v>
      </x:c>
      <x:c r="C1" t="s">
        <x:v>1</x:v>
      </x:c>
      <x:c r="D1" t="s">
        <x:v>18</x:v>
      </x:c>
      <x:c r="E1" t="s">
        <x:v>3</x:v>
      </x:c>
      <x:c r="H1" t="s">
        <x:v>4</x:v>
      </x:c>
      <x:c r="I1" t="s">
        <x:v>5</x:v>
      </x:c>
      <x:c r="J1" t="s">
        <x:v>6</x:v>
      </x:c>
      <x:c r="K1" t="s">
        <x:v>7</x:v>
      </x:c>
      <x:c r="L1" t="s">
        <x:v>8</x:v>
      </x:c>
      <x:c r="M1" t="s">
        <x:v>9</x:v>
      </x:c>
      <x:c r="N1" t="s">
        <x:v>16</x:v>
      </x:c>
      <x:c r="O1" t="s">
        <x:v>11</x:v>
      </x:c>
    </x:row>
    <x:row r="2">
      <x:c r="B2">
        <x:v>0</x:v>
      </x:c>
      <x:c r="C2">
        <x:v>207</x:v>
      </x:c>
      <x:c r="D2" t="n">
        <x:f>B2/(B2+C2)*100</x:f>
        <x:v>0</x:v>
      </x:c>
      <x:c r="E2">
        <x:v>1</x:v>
      </x:c>
      <x:c r="H2" s="1" t="n">
        <x:f>AVERAGE(D2:D8)</x:f>
        <x:v>0.3601440576230492</x:v>
      </x:c>
      <x:c r="I2" s="1" t="n">
        <x:f>AVERAGE(D9:D15)</x:f>
        <x:v>3.135236620910976</x:v>
      </x:c>
      <x:c r="J2" s="1" t="n">
        <x:f>AVERAGE(D16:D22)</x:f>
        <x:v>6.315044124567476</x:v>
      </x:c>
      <x:c r="K2" s="1" t="n">
        <x:f>AVERAGE(D23:D29)</x:f>
        <x:v>11.690184240665413</x:v>
      </x:c>
      <x:c r="L2" s="1" t="n">
        <x:f>AVERAGE(D30:D33)</x:f>
        <x:v>7.967073706368346</x:v>
      </x:c>
      <x:c r="M2" s="1" t="n">
        <x:f>AVERAGE(D34:D36)</x:f>
        <x:v>11.20621173613977</x:v>
      </x:c>
      <x:c r="N2" s="1" t="n">
        <x:f>AVERAGE(H2:M2)</x:f>
        <x:v>6.778982414379172</x:v>
      </x:c>
      <x:c r="O2" s="1" t="n">
        <x:f>_xlfn.STDEV.S(H2:M2)</x:f>
        <x:v>4.468230785409563</x:v>
      </x:c>
    </x:row>
    <x:row r="3">
      <x:c r="B3">
        <x:v>0</x:v>
      </x:c>
      <x:c r="C3">
        <x:v>111</x:v>
      </x:c>
      <x:c r="D3" t="n">
        <x:f t="shared" ref="D3:D36" si="0">B3/(B3+C3)*100</x:f>
        <x:v>0</x:v>
      </x:c>
      <x:c r="E3">
        <x:v>1</x:v>
      </x:c>
    </x:row>
    <x:row r="4">
      <x:c r="B4">
        <x:v>0</x:v>
      </x:c>
      <x:c r="C4">
        <x:v>56</x:v>
      </x:c>
      <x:c r="D4">
        <x:f t="shared" si="0"/>
        <x:v>0</x:v>
      </x:c>
      <x:c r="E4">
        <x:v>1</x:v>
      </x:c>
    </x:row>
    <x:row r="5">
      <x:c r="B5">
        <x:v>3</x:v>
      </x:c>
      <x:c r="C5">
        <x:v>116</x:v>
      </x:c>
      <x:c r="D5">
        <x:f t="shared" si="0"/>
        <x:v>2.5210084033613445</x:v>
      </x:c>
      <x:c r="E5">
        <x:v>1</x:v>
      </x:c>
    </x:row>
    <x:row r="6">
      <x:c r="B6">
        <x:v>0</x:v>
      </x:c>
      <x:c r="C6">
        <x:v>124</x:v>
      </x:c>
      <x:c r="D6">
        <x:f t="shared" si="0"/>
        <x:v>0</x:v>
      </x:c>
      <x:c r="E6">
        <x:v>1</x:v>
      </x:c>
    </x:row>
    <x:row r="7">
      <x:c r="B7">
        <x:v>0</x:v>
      </x:c>
      <x:c r="C7">
        <x:v>224</x:v>
      </x:c>
      <x:c r="D7">
        <x:f t="shared" si="0"/>
        <x:v>0</x:v>
      </x:c>
      <x:c r="E7">
        <x:v>1</x:v>
      </x:c>
    </x:row>
    <x:row r="8">
      <x:c r="B8">
        <x:v>0</x:v>
      </x:c>
      <x:c r="C8">
        <x:v>134</x:v>
      </x:c>
      <x:c r="D8">
        <x:f t="shared" si="0"/>
        <x:v>0</x:v>
      </x:c>
      <x:c r="E8">
        <x:v>1</x:v>
      </x:c>
    </x:row>
    <x:row r="9">
      <x:c r="B9">
        <x:v>8</x:v>
      </x:c>
      <x:c r="C9">
        <x:v>159</x:v>
      </x:c>
      <x:c r="D9">
        <x:f t="shared" si="0"/>
        <x:v>4.7904191616766472</x:v>
      </x:c>
      <x:c r="E9">
        <x:v>2</x:v>
      </x:c>
    </x:row>
    <x:row r="10">
      <x:c r="B10">
        <x:v>15</x:v>
      </x:c>
      <x:c r="C10">
        <x:v>245</x:v>
      </x:c>
      <x:c r="D10">
        <x:f t="shared" si="0"/>
        <x:v>5.7692307692307692</x:v>
      </x:c>
      <x:c r="E10">
        <x:v>2</x:v>
      </x:c>
    </x:row>
    <x:row r="11">
      <x:c r="B11">
        <x:v>0</x:v>
      </x:c>
      <x:c r="C11">
        <x:v>235</x:v>
      </x:c>
      <x:c r="D11">
        <x:f t="shared" si="0"/>
        <x:v>0</x:v>
      </x:c>
      <x:c r="E11">
        <x:v>2</x:v>
      </x:c>
    </x:row>
    <x:row r="12">
      <x:c r="B12">
        <x:v>7</x:v>
      </x:c>
      <x:c r="C12">
        <x:v>91</x:v>
      </x:c>
      <x:c r="D12">
        <x:f t="shared" si="0"/>
        <x:v>7.1428571428571423</x:v>
      </x:c>
      <x:c r="E12">
        <x:v>2</x:v>
      </x:c>
    </x:row>
    <x:row r="13">
      <x:c r="B13">
        <x:v>8</x:v>
      </x:c>
      <x:c r="C13">
        <x:v>196</x:v>
      </x:c>
      <x:c r="D13">
        <x:f t="shared" si="0"/>
        <x:v>3.9215686274509802</x:v>
      </x:c>
      <x:c r="E13">
        <x:v>2</x:v>
      </x:c>
    </x:row>
    <x:row r="14">
      <x:c r="B14">
        <x:v>0</x:v>
      </x:c>
      <x:c r="C14">
        <x:v>161</x:v>
      </x:c>
      <x:c r="D14">
        <x:f t="shared" si="0"/>
        <x:v>0</x:v>
      </x:c>
      <x:c r="E14">
        <x:v>2</x:v>
      </x:c>
    </x:row>
    <x:row r="15">
      <x:c r="B15">
        <x:v>1</x:v>
      </x:c>
      <x:c r="C15">
        <x:v>309</x:v>
      </x:c>
      <x:c r="D15">
        <x:f t="shared" si="0"/>
        <x:v>0.32258064516129031</x:v>
      </x:c>
      <x:c r="E15">
        <x:v>2</x:v>
      </x:c>
    </x:row>
    <x:row r="16">
      <x:c r="B16">
        <x:v>6</x:v>
      </x:c>
      <x:c r="C16">
        <x:v>102</x:v>
      </x:c>
      <x:c r="D16">
        <x:f t="shared" si="0"/>
        <x:v>5.5555555555555554</x:v>
      </x:c>
      <x:c r="E16">
        <x:v>3</x:v>
      </x:c>
    </x:row>
    <x:row r="17">
      <x:c r="B17">
        <x:v>6</x:v>
      </x:c>
      <x:c r="C17">
        <x:v>92</x:v>
      </x:c>
      <x:c r="D17">
        <x:f t="shared" si="0"/>
        <x:v>6.1224489795918364</x:v>
      </x:c>
      <x:c r="E17">
        <x:v>3</x:v>
      </x:c>
    </x:row>
    <x:row r="18">
      <x:c r="B18">
        <x:v>3</x:v>
      </x:c>
      <x:c r="C18">
        <x:v>43</x:v>
      </x:c>
      <x:c r="D18">
        <x:f t="shared" si="0"/>
        <x:v>6.5217391304347823</x:v>
      </x:c>
      <x:c r="E18">
        <x:v>3</x:v>
      </x:c>
    </x:row>
    <x:row r="19">
      <x:c r="B19">
        <x:v>18</x:v>
      </x:c>
      <x:c r="C19">
        <x:v>185</x:v>
      </x:c>
      <x:c r="D19">
        <x:f t="shared" si="0"/>
        <x:v>8.8669950738916263</x:v>
      </x:c>
      <x:c r="E19">
        <x:v>3</x:v>
      </x:c>
    </x:row>
    <x:row r="20">
      <x:c r="B20">
        <x:v>8</x:v>
      </x:c>
      <x:c r="C20">
        <x:v>170</x:v>
      </x:c>
      <x:c r="D20">
        <x:f t="shared" si="0"/>
        <x:v>4.4943820224719104</x:v>
      </x:c>
      <x:c r="E20">
        <x:v>3</x:v>
      </x:c>
    </x:row>
    <x:row r="21">
      <x:c r="B21">
        <x:v>3</x:v>
      </x:c>
      <x:c r="C21">
        <x:v>43</x:v>
      </x:c>
      <x:c r="D21">
        <x:f t="shared" si="0"/>
        <x:v>6.5217391304347823</x:v>
      </x:c>
      <x:c r="E21">
        <x:v>3</x:v>
      </x:c>
    </x:row>
    <x:row r="22">
      <x:c r="B22">
        <x:v>6</x:v>
      </x:c>
      <x:c r="C22">
        <x:v>92</x:v>
      </x:c>
      <x:c r="D22">
        <x:f t="shared" si="0"/>
        <x:v>6.1224489795918364</x:v>
      </x:c>
      <x:c r="E22">
        <x:v>3</x:v>
      </x:c>
    </x:row>
    <x:row r="23">
      <x:c r="B23">
        <x:v>6</x:v>
      </x:c>
      <x:c r="C23">
        <x:v>106</x:v>
      </x:c>
      <x:c r="D23">
        <x:f t="shared" si="0"/>
        <x:v>5.3571428571428568</x:v>
      </x:c>
      <x:c r="E23">
        <x:v>4</x:v>
      </x:c>
    </x:row>
    <x:row r="24">
      <x:c r="B24">
        <x:v>26</x:v>
      </x:c>
      <x:c r="C24">
        <x:v>94</x:v>
      </x:c>
      <x:c r="D24">
        <x:f t="shared" si="0"/>
        <x:v>21.666666666666668</x:v>
      </x:c>
      <x:c r="E24">
        <x:v>4</x:v>
      </x:c>
    </x:row>
    <x:row r="25">
      <x:c r="B25">
        <x:v>8</x:v>
      </x:c>
      <x:c r="C25">
        <x:v>152</x:v>
      </x:c>
      <x:c r="D25">
        <x:f t="shared" si="0"/>
        <x:v>5</x:v>
      </x:c>
      <x:c r="E25">
        <x:v>4</x:v>
      </x:c>
    </x:row>
    <x:row r="26">
      <x:c r="B26">
        <x:v>6</x:v>
      </x:c>
      <x:c r="C26">
        <x:v>198</x:v>
      </x:c>
      <x:c r="D26">
        <x:f t="shared" si="0"/>
        <x:v>2.9411764705882351</x:v>
      </x:c>
      <x:c r="E26">
        <x:v>4</x:v>
      </x:c>
    </x:row>
    <x:row r="27">
      <x:c r="B27">
        <x:v>28</x:v>
      </x:c>
      <x:c r="C27">
        <x:v>56</x:v>
      </x:c>
      <x:c r="D27">
        <x:f t="shared" si="0"/>
        <x:v>33.333333333333329</x:v>
      </x:c>
      <x:c r="E27">
        <x:v>4</x:v>
      </x:c>
    </x:row>
    <x:row r="28">
      <x:c r="B28">
        <x:v>15</x:v>
      </x:c>
      <x:c r="C28">
        <x:v>159</x:v>
      </x:c>
      <x:c r="D28">
        <x:f t="shared" si="0"/>
        <x:v>8.6206896551724146</x:v>
      </x:c>
      <x:c r="E28">
        <x:v>4</x:v>
      </x:c>
    </x:row>
    <x:row r="29">
      <x:c r="B29">
        <x:v>14</x:v>
      </x:c>
      <x:c r="C29">
        <x:v>271</x:v>
      </x:c>
      <x:c r="D29">
        <x:f t="shared" si="0"/>
        <x:v>4.9122807017543861</x:v>
      </x:c>
      <x:c r="E29">
        <x:v>4</x:v>
      </x:c>
    </x:row>
    <x:row r="30">
      <x:c r="B30">
        <x:v>5</x:v>
      </x:c>
      <x:c r="C30">
        <x:v>137</x:v>
      </x:c>
      <x:c r="D30">
        <x:f t="shared" si="0"/>
        <x:v>3.5211267605633805</x:v>
      </x:c>
      <x:c r="E30">
        <x:v>5</x:v>
      </x:c>
    </x:row>
    <x:row r="31">
      <x:c r="B31">
        <x:v>11</x:v>
      </x:c>
      <x:c r="C31">
        <x:v>223</x:v>
      </x:c>
      <x:c r="D31">
        <x:f t="shared" si="0"/>
        <x:v>4.700854700854701</x:v>
      </x:c>
      <x:c r="E31">
        <x:v>5</x:v>
      </x:c>
    </x:row>
    <x:row r="32">
      <x:c r="B32">
        <x:v>6</x:v>
      </x:c>
      <x:c r="C32">
        <x:v>218</x:v>
      </x:c>
      <x:c r="D32">
        <x:f t="shared" si="0"/>
        <x:v>2.6785714285714284</x:v>
      </x:c>
      <x:c r="E32">
        <x:v>5</x:v>
      </x:c>
    </x:row>
    <x:row r="33">
      <x:c r="B33">
        <x:v>26</x:v>
      </x:c>
      <x:c r="C33">
        <x:v>98</x:v>
      </x:c>
      <x:c r="D33">
        <x:f t="shared" si="0"/>
        <x:v>20.967741935483872</x:v>
      </x:c>
      <x:c r="E33">
        <x:v>5</x:v>
      </x:c>
    </x:row>
    <x:row r="34">
      <x:c r="B34">
        <x:v>321</x:v>
      </x:c>
      <x:c r="C34">
        <x:v>1285</x:v>
      </x:c>
      <x:c r="D34">
        <x:f t="shared" si="0"/>
        <x:v>19.987546699875466</x:v>
      </x:c>
      <x:c r="E34">
        <x:v>6</x:v>
      </x:c>
      <x:c r="F34" t="s">
        <x:v>12</x:v>
      </x:c>
    </x:row>
    <x:row r="35">
      <x:c r="B35">
        <x:v>126</x:v>
      </x:c>
      <x:c r="C35">
        <x:v>1184</x:v>
      </x:c>
      <x:c r="D35">
        <x:f t="shared" si="0"/>
        <x:v>9.6183206106870234</x:v>
      </x:c>
      <x:c r="E35">
        <x:v>6</x:v>
      </x:c>
      <x:c r="F35" t="s">
        <x:v>12</x:v>
      </x:c>
    </x:row>
    <x:row r="36">
      <x:c r="B36">
        <x:v>88</x:v>
      </x:c>
      <x:c r="C36">
        <x:v>2105</x:v>
      </x:c>
      <x:c r="D36">
        <x:f t="shared" si="0"/>
        <x:v>4.0127678978568166</x:v>
      </x:c>
      <x:c r="E36">
        <x:v>6</x:v>
      </x:c>
      <x:c r="F36" t="s">
        <x:v>12</x:v>
      </x:c>
    </x:row>
  </x:sheetData>
  <x:pageMargins left="0.7" right="0.7" top="0.75" bottom="0.75" header="0.3" footer="0.3"/>
</x:worksheet>
</file>