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kan\OneDrive\Documents\GitHub\Cryoaerosolization_paper_and_UNET\Figure_7\"/>
    </mc:Choice>
  </mc:AlternateContent>
  <xr:revisionPtr revIDLastSave="0" documentId="13_ncr:1_{D3602071-C286-470A-92ED-068FBCD00793}" xr6:coauthVersionLast="47" xr6:coauthVersionMax="47" xr10:uidLastSave="{00000000-0000-0000-0000-000000000000}"/>
  <bookViews>
    <workbookView xWindow="7416" yWindow="1716" windowWidth="18876" windowHeight="13116" xr2:uid="{5FB00F7D-7B2D-4E0E-A613-A2445AE30D60}"/>
  </bookViews>
  <sheets>
    <sheet name="rbc_hemolysis_viability_repl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L13" i="1"/>
  <c r="D31" i="1"/>
  <c r="E15" i="1"/>
  <c r="E31" i="1" s="1"/>
  <c r="E16" i="1"/>
  <c r="E32" i="1" s="1"/>
  <c r="B30" i="1"/>
  <c r="D15" i="1"/>
  <c r="I13" i="1"/>
  <c r="B13" i="1"/>
  <c r="B14" i="1"/>
  <c r="B15" i="1"/>
  <c r="B31" i="1" s="1"/>
  <c r="B16" i="1"/>
  <c r="B32" i="1" s="1"/>
  <c r="J12" i="1"/>
  <c r="E14" i="1"/>
  <c r="E30" i="1" s="1"/>
  <c r="E13" i="1"/>
  <c r="E29" i="1" s="1"/>
  <c r="D14" i="1"/>
  <c r="D30" i="1" s="1"/>
  <c r="D13" i="1"/>
  <c r="D29" i="1" s="1"/>
  <c r="C16" i="1"/>
  <c r="C32" i="1" s="1"/>
  <c r="C15" i="1"/>
  <c r="C31" i="1" s="1"/>
  <c r="C14" i="1"/>
  <c r="C30" i="1" s="1"/>
  <c r="C13" i="1"/>
  <c r="C29" i="1" s="1"/>
  <c r="I12" i="1" l="1"/>
  <c r="J13" i="1"/>
  <c r="K13" i="1"/>
  <c r="B29" i="1"/>
  <c r="K12" i="1"/>
</calcChain>
</file>

<file path=xl/sharedStrings.xml><?xml version="1.0" encoding="utf-8"?>
<sst xmlns="http://schemas.openxmlformats.org/spreadsheetml/2006/main" count="45" uniqueCount="33">
  <si>
    <t>Control</t>
  </si>
  <si>
    <t>Experiment</t>
  </si>
  <si>
    <t>Treatment</t>
  </si>
  <si>
    <t>Hemolysis value 1 (%)</t>
  </si>
  <si>
    <t>Hemolysis value 2 (%)</t>
  </si>
  <si>
    <t>Hemolysis value 3 (%)</t>
  </si>
  <si>
    <t>Hemolysis value 4 (%)</t>
  </si>
  <si>
    <t>Hemolysis value 5 (%)</t>
  </si>
  <si>
    <t>Hemolysis value 6 (%)</t>
  </si>
  <si>
    <t>Hemolysis value 7 (%)</t>
  </si>
  <si>
    <t>Hemolysis value 8 (%)</t>
  </si>
  <si>
    <t>Hemolysis value 9 (%)</t>
  </si>
  <si>
    <t>Experiment 1</t>
  </si>
  <si>
    <t>Experiment 2</t>
  </si>
  <si>
    <t>Experiment 3</t>
  </si>
  <si>
    <t>Experiment 4</t>
  </si>
  <si>
    <t>Hemolysis value 10%)</t>
  </si>
  <si>
    <t>Hemolysis value 11 (%)</t>
  </si>
  <si>
    <t>Hemolysis value 12 (%)</t>
  </si>
  <si>
    <t>sd</t>
  </si>
  <si>
    <t>mean recovery</t>
  </si>
  <si>
    <t>CPA loading and unloading 2.5M</t>
  </si>
  <si>
    <t>Cryoaerosolisation 2.5M</t>
  </si>
  <si>
    <t>Convective cooling + rewarming 2.5M</t>
  </si>
  <si>
    <t>control hemolysis</t>
  </si>
  <si>
    <t>CPA loading hemolysis</t>
  </si>
  <si>
    <t>Cryoaerosolization + rewarming hemolysis</t>
  </si>
  <si>
    <t>Convective cooling+ rewarming hemolysis</t>
  </si>
  <si>
    <t>CPA loading  recovery</t>
  </si>
  <si>
    <t>control  recovery</t>
  </si>
  <si>
    <t>Cryoaerosolization + rewarming  recovery</t>
  </si>
  <si>
    <t>Convective cooling+ rewarming  recovery</t>
  </si>
  <si>
    <t>CPA loading  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</si>
</sst>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8302-34A6-4F3B-834C-E99955532A37}">
  <dimension ref="A11:M32"/>
  <sheetViews>
    <sheetView tabSelected="1" topLeftCell="G1" workbookViewId="0">
      <selection activeCell="L13" sqref="L13"/>
    </sheetView>
  </sheetViews>
  <sheetFormatPr defaultRowHeight="14.4" x14ac:dyDescent="0.3"/>
  <cols>
    <col min="1" max="1" width="31" bestFit="1" customWidth="1"/>
    <col min="2" max="2" width="27.77734375" customWidth="1"/>
    <col min="3" max="3" width="19.109375" bestFit="1" customWidth="1"/>
    <col min="4" max="4" width="35.109375" bestFit="1" customWidth="1"/>
    <col min="5" max="5" width="34.77734375" bestFit="1" customWidth="1"/>
    <col min="6" max="7" width="18.44140625" bestFit="1" customWidth="1"/>
    <col min="8" max="8" width="30.77734375" bestFit="1" customWidth="1"/>
    <col min="9" max="9" width="18.44140625" bestFit="1" customWidth="1"/>
    <col min="10" max="10" width="18.6640625" bestFit="1" customWidth="1"/>
    <col min="11" max="11" width="34.33203125" bestFit="1" customWidth="1"/>
    <col min="12" max="12" width="34" bestFit="1" customWidth="1"/>
    <col min="13" max="13" width="19.44140625" bestFit="1" customWidth="1"/>
    <col min="14" max="14" width="15.21875" bestFit="1" customWidth="1"/>
  </cols>
  <sheetData>
    <row r="11" spans="1:12" x14ac:dyDescent="0.3">
      <c r="I11" t="s">
        <v>29</v>
      </c>
      <c r="J11" t="s">
        <v>32</v>
      </c>
      <c r="K11" t="s">
        <v>30</v>
      </c>
      <c r="L11" t="s">
        <v>31</v>
      </c>
    </row>
    <row r="12" spans="1:12" x14ac:dyDescent="0.3">
      <c r="A12" t="s">
        <v>1</v>
      </c>
      <c r="B12" t="s">
        <v>24</v>
      </c>
      <c r="C12" t="s">
        <v>25</v>
      </c>
      <c r="D12" t="s">
        <v>26</v>
      </c>
      <c r="E12" t="s">
        <v>27</v>
      </c>
      <c r="H12" t="s">
        <v>19</v>
      </c>
      <c r="I12">
        <f>_xlfn.STDEV.S(B13:B16)</f>
        <v>0.10349449797506678</v>
      </c>
      <c r="J12">
        <f>_xlfn.STDEV.S(C13:C16)</f>
        <v>2.4651905584821709</v>
      </c>
      <c r="K12">
        <f>_xlfn.STDEV.S(D13:D15)</f>
        <v>2.6521800922036709</v>
      </c>
      <c r="L12">
        <f>_xlfn.STDEV.S(E13:E16)</f>
        <v>0.74167400121217364</v>
      </c>
    </row>
    <row r="13" spans="1:12" x14ac:dyDescent="0.3">
      <c r="A13">
        <v>1</v>
      </c>
      <c r="B13">
        <f>AVERAGE(B20:D20)</f>
        <v>1.3</v>
      </c>
      <c r="C13">
        <f>AVERAGE(B21:D21)</f>
        <v>5.7476666666666665</v>
      </c>
      <c r="D13">
        <f>AVERAGE(B22:D22)</f>
        <v>2.5518666666666667</v>
      </c>
      <c r="E13">
        <f>AVERAGE(B23:D23)</f>
        <v>15.948999999999998</v>
      </c>
      <c r="H13" t="s">
        <v>20</v>
      </c>
      <c r="I13">
        <f>100-AVERAGE(B13:B16)</f>
        <v>98.683333333333337</v>
      </c>
      <c r="J13">
        <f>100-AVERAGE(C13:C16)</f>
        <v>93.871633333333335</v>
      </c>
      <c r="K13">
        <f>100-AVERAGE(D13:D15)</f>
        <v>94.457511111111117</v>
      </c>
      <c r="L13">
        <f>100-AVERAGE(E13:E16)</f>
        <v>83.687083333333334</v>
      </c>
    </row>
    <row r="14" spans="1:12" x14ac:dyDescent="0.3">
      <c r="A14">
        <v>2</v>
      </c>
      <c r="B14">
        <f>AVERAGE(E20:G20)</f>
        <v>1.18</v>
      </c>
      <c r="C14">
        <f>AVERAGE(E21:G21)</f>
        <v>4.6808333333333332</v>
      </c>
      <c r="D14">
        <f>AVERAGE(E22:G22)</f>
        <v>7.6089333333333338</v>
      </c>
      <c r="E14">
        <f>AVERAGE(E23:G23)</f>
        <v>15.774333333333333</v>
      </c>
    </row>
    <row r="15" spans="1:12" x14ac:dyDescent="0.3">
      <c r="A15">
        <v>3</v>
      </c>
      <c r="B15">
        <f>AVERAGE(H20:J20)</f>
        <v>1.42</v>
      </c>
      <c r="C15">
        <f>AVERAGE(H21:J21)</f>
        <v>9.718300000000001</v>
      </c>
      <c r="D15">
        <f>AVERAGE(H22:J22)</f>
        <v>6.4666666666666659</v>
      </c>
      <c r="E15">
        <f>AVERAGE(H23:J23)</f>
        <v>17.404666666666667</v>
      </c>
    </row>
    <row r="16" spans="1:12" x14ac:dyDescent="0.3">
      <c r="A16">
        <v>4</v>
      </c>
      <c r="B16">
        <f>AVERAGE(K20:M20)</f>
        <v>1.3666666666666665</v>
      </c>
      <c r="C16">
        <f>AVERAGE(K21:M21)</f>
        <v>4.3666666666666663</v>
      </c>
      <c r="E16">
        <f>AVERAGE(K23:M23)</f>
        <v>16.123666666666665</v>
      </c>
    </row>
    <row r="18" spans="1:13" x14ac:dyDescent="0.3">
      <c r="B18" t="s">
        <v>12</v>
      </c>
      <c r="C18" t="s">
        <v>12</v>
      </c>
      <c r="D18" t="s">
        <v>12</v>
      </c>
      <c r="E18" t="s">
        <v>13</v>
      </c>
      <c r="F18" t="s">
        <v>13</v>
      </c>
      <c r="G18" t="s">
        <v>13</v>
      </c>
      <c r="H18" t="s">
        <v>14</v>
      </c>
      <c r="I18" t="s">
        <v>14</v>
      </c>
      <c r="J18" t="s">
        <v>14</v>
      </c>
      <c r="K18" t="s">
        <v>15</v>
      </c>
      <c r="L18" t="s">
        <v>15</v>
      </c>
      <c r="M18" t="s">
        <v>15</v>
      </c>
    </row>
    <row r="19" spans="1:13" x14ac:dyDescent="0.3">
      <c r="A19" t="s">
        <v>2</v>
      </c>
      <c r="B19" t="s">
        <v>3</v>
      </c>
      <c r="C19" t="s">
        <v>4</v>
      </c>
      <c r="D19" t="s">
        <v>5</v>
      </c>
      <c r="E19" t="s">
        <v>6</v>
      </c>
      <c r="F19" t="s">
        <v>7</v>
      </c>
      <c r="G19" t="s">
        <v>8</v>
      </c>
      <c r="H19" t="s">
        <v>9</v>
      </c>
      <c r="I19" t="s">
        <v>10</v>
      </c>
      <c r="J19" t="s">
        <v>11</v>
      </c>
      <c r="K19" t="s">
        <v>16</v>
      </c>
      <c r="L19" t="s">
        <v>17</v>
      </c>
      <c r="M19" t="s">
        <v>18</v>
      </c>
    </row>
    <row r="20" spans="1:13" x14ac:dyDescent="0.3">
      <c r="A20" t="s">
        <v>0</v>
      </c>
      <c r="B20">
        <v>0.9</v>
      </c>
      <c r="C20">
        <v>1.3</v>
      </c>
      <c r="D20">
        <v>1.7</v>
      </c>
      <c r="E20">
        <v>1.1000000000000001</v>
      </c>
      <c r="F20">
        <v>1.18</v>
      </c>
      <c r="G20">
        <v>1.26</v>
      </c>
      <c r="H20">
        <v>1.34</v>
      </c>
      <c r="I20">
        <v>1.42</v>
      </c>
      <c r="J20">
        <v>1.5</v>
      </c>
      <c r="K20">
        <v>1.2</v>
      </c>
      <c r="L20">
        <v>1.9</v>
      </c>
      <c r="M20">
        <v>1</v>
      </c>
    </row>
    <row r="21" spans="1:13" x14ac:dyDescent="0.3">
      <c r="A21" t="s">
        <v>21</v>
      </c>
      <c r="B21">
        <v>8.34</v>
      </c>
      <c r="C21">
        <v>4.3220000000000001</v>
      </c>
      <c r="D21">
        <v>4.5810000000000004</v>
      </c>
      <c r="E21">
        <v>4.8899999999999997</v>
      </c>
      <c r="F21">
        <v>4.6070000000000002</v>
      </c>
      <c r="G21">
        <v>4.5454999999999997</v>
      </c>
      <c r="H21">
        <v>8.0778999999999996</v>
      </c>
      <c r="I21">
        <v>13.972</v>
      </c>
      <c r="J21">
        <v>7.1050000000000004</v>
      </c>
      <c r="K21">
        <v>4.2</v>
      </c>
      <c r="L21">
        <v>4.3</v>
      </c>
      <c r="M21">
        <v>4.5999999999999996</v>
      </c>
    </row>
    <row r="22" spans="1:13" x14ac:dyDescent="0.3">
      <c r="A22" t="s">
        <v>22</v>
      </c>
      <c r="B22">
        <v>1.7</v>
      </c>
      <c r="C22">
        <v>3.0466000000000002</v>
      </c>
      <c r="D22">
        <v>2.9089999999999998</v>
      </c>
      <c r="E22">
        <v>7.5521000000000003</v>
      </c>
      <c r="F22">
        <v>7.4366000000000003</v>
      </c>
      <c r="G22">
        <v>7.8380999999999998</v>
      </c>
      <c r="H22">
        <v>3.5</v>
      </c>
      <c r="I22">
        <v>7.5</v>
      </c>
      <c r="J22">
        <v>8.4</v>
      </c>
    </row>
    <row r="23" spans="1:13" x14ac:dyDescent="0.3">
      <c r="A23" t="s">
        <v>23</v>
      </c>
      <c r="B23">
        <v>16.619</v>
      </c>
      <c r="C23">
        <v>15.66</v>
      </c>
      <c r="D23">
        <v>15.568</v>
      </c>
      <c r="E23">
        <v>15.657999999999999</v>
      </c>
      <c r="F23">
        <v>15.773999999999999</v>
      </c>
      <c r="G23">
        <v>15.891</v>
      </c>
      <c r="H23">
        <v>17.134</v>
      </c>
      <c r="I23">
        <v>17.815999999999999</v>
      </c>
      <c r="J23">
        <v>17.263999999999999</v>
      </c>
      <c r="K23">
        <v>16.007000000000001</v>
      </c>
      <c r="L23">
        <v>16.123999999999999</v>
      </c>
      <c r="M23">
        <v>16.239999999999998</v>
      </c>
    </row>
    <row r="28" spans="1:13" x14ac:dyDescent="0.3">
      <c r="A28" t="s">
        <v>1</v>
      </c>
      <c r="B28" t="s">
        <v>29</v>
      </c>
      <c r="C28" t="s">
        <v>28</v>
      </c>
      <c r="D28" t="s">
        <v>30</v>
      </c>
      <c r="E28" t="s">
        <v>31</v>
      </c>
    </row>
    <row r="29" spans="1:13" x14ac:dyDescent="0.3">
      <c r="A29">
        <v>1</v>
      </c>
      <c r="B29">
        <f>100-B13</f>
        <v>98.7</v>
      </c>
      <c r="C29">
        <f t="shared" ref="C29:E29" si="0">100-C13</f>
        <v>94.25233333333334</v>
      </c>
      <c r="D29">
        <f t="shared" si="0"/>
        <v>97.448133333333331</v>
      </c>
      <c r="E29">
        <f t="shared" si="0"/>
        <v>84.051000000000002</v>
      </c>
    </row>
    <row r="30" spans="1:13" x14ac:dyDescent="0.3">
      <c r="A30">
        <v>2</v>
      </c>
      <c r="B30">
        <f t="shared" ref="B30:E32" si="1">100-B14</f>
        <v>98.82</v>
      </c>
      <c r="C30">
        <f t="shared" si="1"/>
        <v>95.319166666666661</v>
      </c>
      <c r="D30">
        <f t="shared" si="1"/>
        <v>92.39106666666666</v>
      </c>
      <c r="E30">
        <f t="shared" si="1"/>
        <v>84.225666666666669</v>
      </c>
    </row>
    <row r="31" spans="1:13" x14ac:dyDescent="0.3">
      <c r="A31">
        <v>3</v>
      </c>
      <c r="B31">
        <f t="shared" si="1"/>
        <v>98.58</v>
      </c>
      <c r="C31">
        <f t="shared" si="1"/>
        <v>90.281700000000001</v>
      </c>
      <c r="D31">
        <f>100-D15</f>
        <v>93.533333333333331</v>
      </c>
      <c r="E31">
        <f t="shared" si="1"/>
        <v>82.595333333333329</v>
      </c>
    </row>
    <row r="32" spans="1:13" x14ac:dyDescent="0.3">
      <c r="A32">
        <v>4</v>
      </c>
      <c r="B32">
        <f t="shared" si="1"/>
        <v>98.63333333333334</v>
      </c>
      <c r="C32">
        <f t="shared" si="1"/>
        <v>95.63333333333334</v>
      </c>
      <c r="E32">
        <f>100-E16</f>
        <v>83.876333333333335</v>
      </c>
    </row>
  </sheetData>
  <phoneticPr fontId="18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rbc_hemolysis_viability_replica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kangas</cp:lastModifiedBy>
  <dcterms:created xsi:type="dcterms:W3CDTF">2026-08-31T21:05:47Z</dcterms:created>
  <dcterms:modified xsi:type="dcterms:W3CDTF">2026-09-02T01:50:36Z</dcterms:modified>
</cp:coreProperties>
</file>