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kan\Documents\BHMT\MATLAB\BHMT_Lab\Cryoaerosol paper\"/>
    </mc:Choice>
  </mc:AlternateContent>
  <xr:revisionPtr revIDLastSave="0" documentId="13_ncr:1_{49075587-83FE-439E-9A32-2826CFDBECCA}" xr6:coauthVersionLast="47" xr6:coauthVersionMax="47" xr10:uidLastSave="{00000000-0000-0000-0000-000000000000}"/>
  <bookViews>
    <workbookView xWindow="31716" yWindow="84" windowWidth="27096" windowHeight="16752" tabRatio="682" firstSheet="1" activeTab="5" xr2:uid="{00000000-000D-0000-FFFF-FFFF00000000}"/>
  </bookViews>
  <sheets>
    <sheet name="Rep1_CPA_Aerosol_03-07-26" sheetId="1" r:id="rId1"/>
    <sheet name="Rep2_CPA_Spray_Rewarmin_031626" sheetId="5" r:id="rId2"/>
    <sheet name="Rep3_CPA_Spray_Rewarmin" sheetId="7" r:id="rId3"/>
    <sheet name="Rep4_CPA_Spray_Rewarmin" sheetId="9" r:id="rId4"/>
    <sheet name="Cell Viability Data" sheetId="12" r:id="rId5"/>
    <sheet name="Sheet1" sheetId="1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5" l="1"/>
  <c r="G31" i="5"/>
  <c r="G30" i="5"/>
  <c r="G28" i="5"/>
  <c r="G26" i="5"/>
  <c r="G25" i="5"/>
  <c r="G24" i="5"/>
  <c r="G4" i="1"/>
  <c r="G31" i="1"/>
  <c r="G30" i="1"/>
  <c r="G29" i="1"/>
  <c r="G28" i="1"/>
  <c r="G27" i="1"/>
  <c r="G26" i="1"/>
  <c r="G25" i="1"/>
  <c r="G24" i="1"/>
  <c r="G23" i="1"/>
  <c r="G21" i="1"/>
  <c r="G20" i="1"/>
  <c r="G19" i="1"/>
  <c r="G18" i="1"/>
  <c r="G17" i="1"/>
  <c r="G16" i="1"/>
  <c r="G15" i="1"/>
  <c r="G14" i="1"/>
  <c r="G13" i="1"/>
  <c r="G11" i="1"/>
  <c r="G10" i="1"/>
  <c r="G9" i="1"/>
  <c r="G8" i="1"/>
  <c r="G7" i="1"/>
  <c r="G6" i="1"/>
  <c r="G5" i="1"/>
  <c r="C11" i="1"/>
  <c r="G12" i="5"/>
  <c r="G11" i="5"/>
  <c r="G9" i="5"/>
  <c r="G8" i="5"/>
  <c r="G7" i="5"/>
  <c r="G6" i="5"/>
  <c r="G5" i="5"/>
  <c r="G4" i="5"/>
  <c r="C7" i="5"/>
  <c r="C6" i="5"/>
  <c r="E6" i="5" s="1"/>
  <c r="C5" i="5"/>
  <c r="C4" i="5"/>
  <c r="E4" i="5" s="1"/>
  <c r="G42" i="5"/>
  <c r="G41" i="5"/>
  <c r="G40" i="5"/>
  <c r="G39" i="5"/>
  <c r="G38" i="5"/>
  <c r="G37" i="5"/>
  <c r="G36" i="5"/>
  <c r="G35" i="5"/>
  <c r="G34" i="5"/>
  <c r="G29" i="5"/>
  <c r="G27" i="5"/>
  <c r="G22" i="5"/>
  <c r="G21" i="5"/>
  <c r="G20" i="5"/>
  <c r="G19" i="5"/>
  <c r="G18" i="5"/>
  <c r="G17" i="5"/>
  <c r="G16" i="5"/>
  <c r="G15" i="5"/>
  <c r="G14" i="5"/>
  <c r="G10" i="5"/>
  <c r="C4" i="7"/>
  <c r="C35" i="7"/>
  <c r="E35" i="7" s="1"/>
  <c r="C24" i="7"/>
  <c r="E24" i="7" s="1"/>
  <c r="C13" i="7"/>
  <c r="E13" i="7" s="1"/>
  <c r="G5" i="7"/>
  <c r="G6" i="7"/>
  <c r="G7" i="7"/>
  <c r="G8" i="7"/>
  <c r="G9" i="7"/>
  <c r="G10" i="7"/>
  <c r="G11" i="7"/>
  <c r="G12" i="7"/>
  <c r="G13" i="7"/>
  <c r="G4" i="7"/>
  <c r="G20" i="9"/>
  <c r="G19" i="9"/>
  <c r="G18" i="9"/>
  <c r="G17" i="9"/>
  <c r="G16" i="9"/>
  <c r="G15" i="9"/>
  <c r="G14" i="9"/>
  <c r="G13" i="9"/>
  <c r="C13" i="9"/>
  <c r="G5" i="9"/>
  <c r="G6" i="9"/>
  <c r="G7" i="9"/>
  <c r="G8" i="9"/>
  <c r="G9" i="9"/>
  <c r="G10" i="9"/>
  <c r="G11" i="9"/>
  <c r="G4" i="9"/>
  <c r="C5" i="9"/>
  <c r="E5" i="9" s="1"/>
  <c r="C4" i="9"/>
  <c r="G38" i="9"/>
  <c r="C38" i="9"/>
  <c r="E38" i="9" s="1"/>
  <c r="G37" i="9"/>
  <c r="C37" i="9"/>
  <c r="E37" i="9" s="1"/>
  <c r="G36" i="9"/>
  <c r="C36" i="9"/>
  <c r="E36" i="9" s="1"/>
  <c r="G35" i="9"/>
  <c r="C35" i="9"/>
  <c r="E35" i="9" s="1"/>
  <c r="G34" i="9"/>
  <c r="C34" i="9"/>
  <c r="E34" i="9" s="1"/>
  <c r="G33" i="9"/>
  <c r="C33" i="9"/>
  <c r="E33" i="9" s="1"/>
  <c r="G32" i="9"/>
  <c r="C32" i="9"/>
  <c r="E32" i="9" s="1"/>
  <c r="G31" i="9"/>
  <c r="C31" i="9"/>
  <c r="E31" i="9" s="1"/>
  <c r="G29" i="9"/>
  <c r="C29" i="9"/>
  <c r="E29" i="9" s="1"/>
  <c r="G28" i="9"/>
  <c r="C28" i="9"/>
  <c r="E28" i="9" s="1"/>
  <c r="G27" i="9"/>
  <c r="C27" i="9"/>
  <c r="E27" i="9" s="1"/>
  <c r="G26" i="9"/>
  <c r="C26" i="9"/>
  <c r="E26" i="9" s="1"/>
  <c r="G25" i="9"/>
  <c r="C25" i="9"/>
  <c r="E25" i="9" s="1"/>
  <c r="G24" i="9"/>
  <c r="C24" i="9"/>
  <c r="E24" i="9" s="1"/>
  <c r="G23" i="9"/>
  <c r="C23" i="9"/>
  <c r="E23" i="9" s="1"/>
  <c r="G22" i="9"/>
  <c r="C22" i="9"/>
  <c r="E22" i="9" s="1"/>
  <c r="C20" i="9"/>
  <c r="E20" i="9" s="1"/>
  <c r="C19" i="9"/>
  <c r="E19" i="9" s="1"/>
  <c r="C18" i="9"/>
  <c r="E18" i="9" s="1"/>
  <c r="C17" i="9"/>
  <c r="E17" i="9" s="1"/>
  <c r="C16" i="9"/>
  <c r="E16" i="9" s="1"/>
  <c r="C15" i="9"/>
  <c r="E15" i="9" s="1"/>
  <c r="C14" i="9"/>
  <c r="E14" i="9" s="1"/>
  <c r="E13" i="9"/>
  <c r="C11" i="9"/>
  <c r="E11" i="9" s="1"/>
  <c r="C10" i="9"/>
  <c r="E10" i="9" s="1"/>
  <c r="C9" i="9"/>
  <c r="E9" i="9" s="1"/>
  <c r="C8" i="9"/>
  <c r="E8" i="9" s="1"/>
  <c r="C7" i="9"/>
  <c r="E7" i="9" s="1"/>
  <c r="C6" i="9"/>
  <c r="E6" i="9" s="1"/>
  <c r="E4" i="9"/>
  <c r="G65" i="7"/>
  <c r="G64" i="7"/>
  <c r="G63" i="7"/>
  <c r="G62" i="7"/>
  <c r="G61" i="7"/>
  <c r="G60" i="7"/>
  <c r="G59" i="7"/>
  <c r="G58" i="7"/>
  <c r="G57" i="7"/>
  <c r="G55" i="7"/>
  <c r="G54" i="7"/>
  <c r="G53" i="7"/>
  <c r="G52" i="7"/>
  <c r="G51" i="7"/>
  <c r="G50" i="7"/>
  <c r="G49" i="7"/>
  <c r="G48" i="7"/>
  <c r="G47" i="7"/>
  <c r="G45" i="7"/>
  <c r="G44" i="7"/>
  <c r="G43" i="7"/>
  <c r="G42" i="7"/>
  <c r="G41" i="7"/>
  <c r="G40" i="7"/>
  <c r="G39" i="7"/>
  <c r="G38" i="7"/>
  <c r="G37" i="7"/>
  <c r="G35" i="7"/>
  <c r="G34" i="7"/>
  <c r="G33" i="7"/>
  <c r="G32" i="7"/>
  <c r="G31" i="7"/>
  <c r="G30" i="7"/>
  <c r="G29" i="7"/>
  <c r="G28" i="7"/>
  <c r="G27" i="7"/>
  <c r="G26" i="7"/>
  <c r="G16" i="7"/>
  <c r="G17" i="7"/>
  <c r="G18" i="7"/>
  <c r="G19" i="7"/>
  <c r="G20" i="7"/>
  <c r="G21" i="7"/>
  <c r="G22" i="7"/>
  <c r="G23" i="7"/>
  <c r="G24" i="7"/>
  <c r="G15" i="7"/>
  <c r="C55" i="7"/>
  <c r="E55" i="7" s="1"/>
  <c r="C54" i="7"/>
  <c r="E54" i="7" s="1"/>
  <c r="C53" i="7"/>
  <c r="E53" i="7" s="1"/>
  <c r="C52" i="7"/>
  <c r="E52" i="7" s="1"/>
  <c r="C51" i="7"/>
  <c r="E51" i="7" s="1"/>
  <c r="C50" i="7"/>
  <c r="E50" i="7" s="1"/>
  <c r="C49" i="7"/>
  <c r="E49" i="7" s="1"/>
  <c r="C48" i="7"/>
  <c r="E48" i="7" s="1"/>
  <c r="C47" i="7"/>
  <c r="E47" i="7" s="1"/>
  <c r="C65" i="7"/>
  <c r="E65" i="7" s="1"/>
  <c r="C64" i="7"/>
  <c r="E64" i="7" s="1"/>
  <c r="C63" i="7"/>
  <c r="E63" i="7" s="1"/>
  <c r="C62" i="7"/>
  <c r="E62" i="7" s="1"/>
  <c r="C61" i="7"/>
  <c r="E61" i="7" s="1"/>
  <c r="C60" i="7"/>
  <c r="E60" i="7" s="1"/>
  <c r="C59" i="7"/>
  <c r="E59" i="7" s="1"/>
  <c r="C58" i="7"/>
  <c r="E58" i="7" s="1"/>
  <c r="C57" i="7"/>
  <c r="E57" i="7" s="1"/>
  <c r="E5" i="5" l="1"/>
  <c r="C45" i="7"/>
  <c r="E45" i="7" s="1"/>
  <c r="C44" i="7"/>
  <c r="E44" i="7" s="1"/>
  <c r="C43" i="7"/>
  <c r="E43" i="7" s="1"/>
  <c r="C42" i="7"/>
  <c r="E42" i="7" s="1"/>
  <c r="C41" i="7"/>
  <c r="E41" i="7" s="1"/>
  <c r="C40" i="7"/>
  <c r="E40" i="7" s="1"/>
  <c r="C39" i="7"/>
  <c r="E39" i="7" s="1"/>
  <c r="C38" i="7"/>
  <c r="E38" i="7" s="1"/>
  <c r="C37" i="7"/>
  <c r="E37" i="7" s="1"/>
  <c r="C34" i="7"/>
  <c r="E34" i="7" s="1"/>
  <c r="C33" i="7"/>
  <c r="E33" i="7" s="1"/>
  <c r="C32" i="7"/>
  <c r="E32" i="7" s="1"/>
  <c r="C31" i="7"/>
  <c r="E31" i="7" s="1"/>
  <c r="C30" i="7"/>
  <c r="E30" i="7" s="1"/>
  <c r="C29" i="7"/>
  <c r="E29" i="7" s="1"/>
  <c r="C28" i="7"/>
  <c r="E28" i="7" s="1"/>
  <c r="C27" i="7"/>
  <c r="E27" i="7" s="1"/>
  <c r="C26" i="7"/>
  <c r="E26" i="7" s="1"/>
  <c r="C23" i="7"/>
  <c r="E23" i="7" s="1"/>
  <c r="C22" i="7"/>
  <c r="E22" i="7" s="1"/>
  <c r="C21" i="7"/>
  <c r="E21" i="7" s="1"/>
  <c r="C20" i="7"/>
  <c r="E20" i="7" s="1"/>
  <c r="C19" i="7"/>
  <c r="E19" i="7" s="1"/>
  <c r="C18" i="7"/>
  <c r="E18" i="7" s="1"/>
  <c r="C17" i="7"/>
  <c r="E17" i="7" s="1"/>
  <c r="C16" i="7"/>
  <c r="E16" i="7" s="1"/>
  <c r="C15" i="7"/>
  <c r="E15" i="7" s="1"/>
  <c r="C12" i="7"/>
  <c r="E12" i="7" s="1"/>
  <c r="C11" i="7"/>
  <c r="E11" i="7" s="1"/>
  <c r="C10" i="7"/>
  <c r="E10" i="7" s="1"/>
  <c r="C9" i="7"/>
  <c r="E9" i="7" s="1"/>
  <c r="C8" i="7"/>
  <c r="E8" i="7" s="1"/>
  <c r="C7" i="7"/>
  <c r="E7" i="7" s="1"/>
  <c r="C6" i="7"/>
  <c r="E6" i="7" s="1"/>
  <c r="C5" i="7"/>
  <c r="E5" i="7" s="1"/>
  <c r="E7" i="5"/>
  <c r="C8" i="5"/>
  <c r="E8" i="5" s="1"/>
  <c r="C9" i="5"/>
  <c r="E9" i="5" s="1"/>
  <c r="C10" i="5"/>
  <c r="E10" i="5" s="1"/>
  <c r="C11" i="5"/>
  <c r="E11" i="5" s="1"/>
  <c r="C12" i="5"/>
  <c r="E12" i="5" s="1"/>
  <c r="C42" i="5"/>
  <c r="E42" i="5" s="1"/>
  <c r="C41" i="5"/>
  <c r="E41" i="5" s="1"/>
  <c r="C40" i="5"/>
  <c r="E40" i="5" s="1"/>
  <c r="C39" i="5"/>
  <c r="E39" i="5" s="1"/>
  <c r="C38" i="5"/>
  <c r="E38" i="5" s="1"/>
  <c r="C37" i="5"/>
  <c r="E37" i="5" s="1"/>
  <c r="C36" i="5"/>
  <c r="E36" i="5" s="1"/>
  <c r="C35" i="5"/>
  <c r="E35" i="5" s="1"/>
  <c r="C34" i="5"/>
  <c r="E34" i="5" s="1"/>
  <c r="C32" i="5"/>
  <c r="E32" i="5" s="1"/>
  <c r="C31" i="5"/>
  <c r="E31" i="5" s="1"/>
  <c r="C30" i="5"/>
  <c r="E30" i="5" s="1"/>
  <c r="C29" i="5"/>
  <c r="E29" i="5" s="1"/>
  <c r="C28" i="5"/>
  <c r="E28" i="5" s="1"/>
  <c r="C27" i="5"/>
  <c r="E27" i="5" s="1"/>
  <c r="C26" i="5"/>
  <c r="E26" i="5" s="1"/>
  <c r="C25" i="5"/>
  <c r="E25" i="5" s="1"/>
  <c r="C24" i="5"/>
  <c r="E24" i="5" s="1"/>
  <c r="C22" i="5"/>
  <c r="E22" i="5" s="1"/>
  <c r="C21" i="5"/>
  <c r="E21" i="5" s="1"/>
  <c r="C20" i="5"/>
  <c r="E20" i="5" s="1"/>
  <c r="C19" i="5"/>
  <c r="E19" i="5" s="1"/>
  <c r="C18" i="5"/>
  <c r="E18" i="5" s="1"/>
  <c r="C17" i="5"/>
  <c r="E17" i="5" s="1"/>
  <c r="C16" i="5"/>
  <c r="E16" i="5" s="1"/>
  <c r="C15" i="5"/>
  <c r="E15" i="5" s="1"/>
  <c r="C14" i="5"/>
  <c r="E14" i="5" s="1"/>
  <c r="E23" i="1"/>
  <c r="E10" i="1"/>
  <c r="E11" i="1"/>
  <c r="C31" i="1"/>
  <c r="E31" i="1" s="1"/>
  <c r="C30" i="1"/>
  <c r="E30" i="1" s="1"/>
  <c r="C29" i="1"/>
  <c r="E29" i="1" s="1"/>
  <c r="C28" i="1"/>
  <c r="E28" i="1" s="1"/>
  <c r="C27" i="1"/>
  <c r="E27" i="1" s="1"/>
  <c r="C26" i="1"/>
  <c r="E26" i="1" s="1"/>
  <c r="C25" i="1"/>
  <c r="E25" i="1" s="1"/>
  <c r="C24" i="1"/>
  <c r="E24" i="1" s="1"/>
  <c r="C23" i="1"/>
  <c r="C21" i="1"/>
  <c r="E21" i="1" s="1"/>
  <c r="C20" i="1"/>
  <c r="E20" i="1" s="1"/>
  <c r="C19" i="1"/>
  <c r="E19" i="1" s="1"/>
  <c r="C18" i="1"/>
  <c r="E18" i="1" s="1"/>
  <c r="C17" i="1"/>
  <c r="E17" i="1" s="1"/>
  <c r="C16" i="1"/>
  <c r="C15" i="1"/>
  <c r="E15" i="1" s="1"/>
  <c r="C14" i="1"/>
  <c r="E14" i="1" s="1"/>
  <c r="C13" i="1"/>
  <c r="C5" i="1"/>
  <c r="E5" i="1" s="1"/>
  <c r="C6" i="1"/>
  <c r="E6" i="1" s="1"/>
  <c r="C7" i="1"/>
  <c r="E7" i="1" s="1"/>
  <c r="C8" i="1"/>
  <c r="E8" i="1" s="1"/>
  <c r="C9" i="1"/>
  <c r="E9" i="1" s="1"/>
  <c r="C10" i="1"/>
  <c r="C4" i="1"/>
  <c r="E13" i="1" l="1"/>
  <c r="E4" i="1"/>
  <c r="E16" i="1"/>
  <c r="E4" i="7"/>
</calcChain>
</file>

<file path=xl/sharedStrings.xml><?xml version="1.0" encoding="utf-8"?>
<sst xmlns="http://schemas.openxmlformats.org/spreadsheetml/2006/main" count="392" uniqueCount="176">
  <si>
    <t>Rep1_After 24 Hr Cell Seed</t>
  </si>
  <si>
    <t>% Viability</t>
  </si>
  <si>
    <t>Total cells</t>
  </si>
  <si>
    <t>% Death</t>
  </si>
  <si>
    <t>Group1_10X_0002_GFP</t>
  </si>
  <si>
    <t>Group1_10X_0003_GFP</t>
  </si>
  <si>
    <t>Group1_10X_0004_GFP</t>
  </si>
  <si>
    <t>Group1_10X_0005_GFP</t>
  </si>
  <si>
    <t>Group1_10X_0006_GFP</t>
  </si>
  <si>
    <t>Group1_10X_0007_GFP</t>
  </si>
  <si>
    <t>Group1_10X_0008_GFP</t>
  </si>
  <si>
    <t>Group1_10X_0009_GFP</t>
  </si>
  <si>
    <t>Group1_10X_0010_GFP</t>
  </si>
  <si>
    <t>Group2_10X_0001_GFP</t>
  </si>
  <si>
    <t>Group2_10X_0002_GFP</t>
  </si>
  <si>
    <t>Group2_10X_0003_GFP</t>
  </si>
  <si>
    <t>Group2_10X_0004_GFP</t>
  </si>
  <si>
    <t>Group2_10X_0005_GFP</t>
  </si>
  <si>
    <t>Group2_10X_0006_GFP</t>
  </si>
  <si>
    <t>Group2_10X_0007_GFP</t>
  </si>
  <si>
    <t>Group2_10X_0008_GFP</t>
  </si>
  <si>
    <t>Group2_10X_0009_GFP</t>
  </si>
  <si>
    <t>Group2_10X_0010_GFP</t>
  </si>
  <si>
    <t>Group3_10X_0001_GFP</t>
  </si>
  <si>
    <t>Group3_10X_0002_GFP</t>
  </si>
  <si>
    <t>Group3_10X_0003_GFP</t>
  </si>
  <si>
    <t>Group3_10X_0004_GFP</t>
  </si>
  <si>
    <t>Group3_10X_0005_GFP</t>
  </si>
  <si>
    <t>Group3_10X_0006_GFP</t>
  </si>
  <si>
    <t>Group3_10X_0007_GFP</t>
  </si>
  <si>
    <t>Group3_10X_0008_GFP</t>
  </si>
  <si>
    <t>Group3_10X_0009_GFP</t>
  </si>
  <si>
    <t>Group3_10X_0010_GFP</t>
  </si>
  <si>
    <t>Group5_10X_0001_GFP</t>
  </si>
  <si>
    <t>Group5_10X_0002_GFP</t>
  </si>
  <si>
    <t>Group5_10X_0003_GFP</t>
  </si>
  <si>
    <t>Group5_10X_0004_GFP</t>
  </si>
  <si>
    <t>Group5_10X_0005_GFP</t>
  </si>
  <si>
    <t>Group5_10X_0006_GFP</t>
  </si>
  <si>
    <t>Group5_10X_0007_GFP</t>
  </si>
  <si>
    <t>Group5_10X_0008_GFP</t>
  </si>
  <si>
    <t>Group5_10X_0009_GFP</t>
  </si>
  <si>
    <t>Group6_10X_0001_GFP</t>
  </si>
  <si>
    <t>Group6_10X_0002_GFP</t>
  </si>
  <si>
    <t>Group6_10X_0003_GFP</t>
  </si>
  <si>
    <t>Group6_10X_0004_GFP</t>
  </si>
  <si>
    <t>Group6_10X_0005_GFP</t>
  </si>
  <si>
    <t>Group6_10X_0006_GFP</t>
  </si>
  <si>
    <t>Group6_10X_0007_GFP</t>
  </si>
  <si>
    <t>Group6_10X_0008_GFP</t>
  </si>
  <si>
    <t>Group6_10X_0009_GFP</t>
  </si>
  <si>
    <t>Group7_10X_0001_GFP</t>
  </si>
  <si>
    <t>Group7_10X_0002_GFP</t>
  </si>
  <si>
    <t>Group7_10X_0003_GFP</t>
  </si>
  <si>
    <t>Group7_10X_0004_GFP</t>
  </si>
  <si>
    <t>Group7_10X_0005_GFP</t>
  </si>
  <si>
    <t>Group7_10X_0006_GFP</t>
  </si>
  <si>
    <t>Group7_10X_0007_GFP</t>
  </si>
  <si>
    <t>Group7_10X_0008_GFP</t>
  </si>
  <si>
    <t>Group7_10X_0009_GFP</t>
  </si>
  <si>
    <t>Group1_10X_0001_GFP</t>
  </si>
  <si>
    <t>Group1_Control_10X_0002_GFP</t>
  </si>
  <si>
    <t>Group1_Control_10X_0003_GFP</t>
  </si>
  <si>
    <t>Group1_Control_10X_0004_GFP</t>
  </si>
  <si>
    <t>Group1_Control_10X_0005_GFP</t>
  </si>
  <si>
    <t>Group1_Control_10X_0006_GFP</t>
  </si>
  <si>
    <t>Group1_Control_10X_0007_GFP</t>
  </si>
  <si>
    <t>Group1_Control_10X_0008_GFP</t>
  </si>
  <si>
    <t>Group2_Spray_10X_0001_GFP</t>
  </si>
  <si>
    <t>Group2_Spray_10X_0002_GFP</t>
  </si>
  <si>
    <t>Group2_Spray_10X_0003_GFP</t>
  </si>
  <si>
    <t>Group2_Spray_10X_0004_GFP</t>
  </si>
  <si>
    <t>Group2_Spray_10X_0005_GFP</t>
  </si>
  <si>
    <t>Group2_Spray_10X_0006_GFP</t>
  </si>
  <si>
    <t>Group2_Spray_10X_0007_GFP</t>
  </si>
  <si>
    <t>Group2_Spray_10X_0008_GFP</t>
  </si>
  <si>
    <t>Group3_Spray_RW_10X_0001_GFP</t>
  </si>
  <si>
    <t>Group3_Spray_RW_10X_0002_GFP</t>
  </si>
  <si>
    <t>Group3_Spray_RW_10X_0003_GFP</t>
  </si>
  <si>
    <t>Group3_Spray_RW_10X_0004_GFP</t>
  </si>
  <si>
    <t>Group3_Spray_RW_10X_0005_GFP</t>
  </si>
  <si>
    <t>Group3_Spray_RW_10X_0006_GFP</t>
  </si>
  <si>
    <t>Group3_Spray_RW_10X_0007_GFP</t>
  </si>
  <si>
    <t>Group3_Spray_RW_10X_0008_GFP</t>
  </si>
  <si>
    <t>Group4_Cryotop-20ul_10X_0001_GFP</t>
  </si>
  <si>
    <t>Group4_Cryotop-20ul_10X_0002_GFP</t>
  </si>
  <si>
    <t>Group4_Cryotop-20ul_10X_0003_GFP</t>
  </si>
  <si>
    <t>Group4_Cryotop-20ul_10X_0004_GFP</t>
  </si>
  <si>
    <t>Group4_Cryotop-20ul_10X_0005_GFP</t>
  </si>
  <si>
    <t>Group4_Cryotop-20ul_10X_0006_GFP</t>
  </si>
  <si>
    <t>Group4_Cryotop-20ul_10X_0007_GFP</t>
  </si>
  <si>
    <t>Group4_Cryotop-20ul_10X_0008_GFP</t>
  </si>
  <si>
    <t>Control (Total Average)</t>
  </si>
  <si>
    <t>Control_10X_0002_GFP</t>
  </si>
  <si>
    <t>Control_10X_0003_GFP</t>
  </si>
  <si>
    <t>Control_10X_0004_GFP</t>
  </si>
  <si>
    <t>Control_10X_0005_GFP</t>
  </si>
  <si>
    <t>Control_10X_0006_GFP</t>
  </si>
  <si>
    <t>Control_10X_0007_GFP</t>
  </si>
  <si>
    <t>Control_10X_0008_GFP</t>
  </si>
  <si>
    <t>Control_10X_0009_GFP</t>
  </si>
  <si>
    <t>Conv Rewarm_10X_0001_GFP</t>
  </si>
  <si>
    <t>Conv Rewarm_10X_0002_GFP</t>
  </si>
  <si>
    <t>Conv Rewarm_10X_0003_GFP</t>
  </si>
  <si>
    <t>Conv Rewarm_10X_0004_GFP</t>
  </si>
  <si>
    <t>Conv Rewarm_10X_0005_GFP</t>
  </si>
  <si>
    <t>Conv Rewarm_10X_0006_GFP</t>
  </si>
  <si>
    <t>Conv Rewarm_10X_0007_GFP</t>
  </si>
  <si>
    <t>Conv Rewarm_10X_0008_GFP</t>
  </si>
  <si>
    <t>Conv Rewarm_10X_0009_GFP</t>
  </si>
  <si>
    <t>High CPA Spray Rewarm_10X_0001_GFP</t>
  </si>
  <si>
    <t>High CPA Spray Rewarm_10X_0002_GFP</t>
  </si>
  <si>
    <t>High CPA Spray Rewarm_10X_0003_GFP</t>
  </si>
  <si>
    <t>High CPA Spray Rewarm_10X_0004_GFP</t>
  </si>
  <si>
    <t>High CPA Spray Rewarm_10X_0005_GFP</t>
  </si>
  <si>
    <t>High CPA Spray Rewarm_10X_0006_GFP</t>
  </si>
  <si>
    <t>High CPA Spray Rewarm_10X_0007_GFP</t>
  </si>
  <si>
    <t>High CPA Spray Rewarm_10X_0008_GFP</t>
  </si>
  <si>
    <t>High CPA Spray Rewarm_10X_0009_GFP</t>
  </si>
  <si>
    <t>Low CPA Spray Rewarm_10X_0001_GFP</t>
  </si>
  <si>
    <t>Low CPA Spray Rewarm_10X_0002_GFP</t>
  </si>
  <si>
    <t>Low CPA Spray Rewarm_10X_0003_GFP</t>
  </si>
  <si>
    <t>Low CPA Spray Rewarm_10X_0004_GFP</t>
  </si>
  <si>
    <t>Low CPA Spray Rewarm_10X_0005_GFP</t>
  </si>
  <si>
    <t>Low CPA Spray Rewarm_10X_0006_GFP</t>
  </si>
  <si>
    <t>Low CPA Spray Rewarm_10X_0007_GFP</t>
  </si>
  <si>
    <t>Low CPA Spray Rewarm_10X_0008_GFP</t>
  </si>
  <si>
    <t>Low CPA Spray Rewarm_10X_0009_GFP</t>
  </si>
  <si>
    <t>CPA_10X_0001_GFP</t>
  </si>
  <si>
    <t>CPA_10X_0002_GFP</t>
  </si>
  <si>
    <t>CPA_10X_0003_GFP</t>
  </si>
  <si>
    <t>CPA_10X_0004_GFP</t>
  </si>
  <si>
    <t>CPA_10X_0005_GFP</t>
  </si>
  <si>
    <t>CPA_10X_0006_GFP</t>
  </si>
  <si>
    <t>CPA_10X_0007_GFP</t>
  </si>
  <si>
    <t>CPA_10X_0008_GFP</t>
  </si>
  <si>
    <t>CPA_10X_0009_GFP</t>
  </si>
  <si>
    <t>Spray_10X_0001_GFP</t>
  </si>
  <si>
    <t>Spray_10X_0002_GFP</t>
  </si>
  <si>
    <t>Spray_10X_0003_GFP</t>
  </si>
  <si>
    <t>Spray_10X_0004_GFP</t>
  </si>
  <si>
    <t>Spray_10X_0005_GFP</t>
  </si>
  <si>
    <t>Spray_10X_0006_GFP</t>
  </si>
  <si>
    <t>Spray_10X_0007_GFP</t>
  </si>
  <si>
    <t>Spray_10X_0008_GFP</t>
  </si>
  <si>
    <t>Spray_10X_0009_GFP</t>
  </si>
  <si>
    <t>Rep 2</t>
  </si>
  <si>
    <t>Rep 3</t>
  </si>
  <si>
    <t>Rep 4</t>
  </si>
  <si>
    <t xml:space="preserve">Total Live cells </t>
  </si>
  <si>
    <t xml:space="preserve">Total dead cells </t>
  </si>
  <si>
    <t>1. Control (no CPA, no treatment)</t>
  </si>
  <si>
    <t>2. Spray control (no CPA, spray only)</t>
  </si>
  <si>
    <t>3. Cryoaerosol group (CPA, vitrification, and rewarming)</t>
  </si>
  <si>
    <t>5. Cryotop 20 µL (CPA, cooling and rewarming)</t>
  </si>
  <si>
    <t>6. Slow freezing (using your lab’s standard freezing medium, 1°C/min cooling rate, rewarming in a water bath)</t>
  </si>
  <si>
    <t>7. Slow freezing (using the CPA from our vitrification protocol, 1°C/min cooling rate, rewarming in a water bath)</t>
  </si>
  <si>
    <t>1. Control (untreated)</t>
  </si>
  <si>
    <t>2. Convective cooling and rewarming</t>
  </si>
  <si>
    <t>3. Spray with high concentration CPA</t>
  </si>
  <si>
    <t>4. Spray with low concentration CPA</t>
  </si>
  <si>
    <t>Experimental Groups</t>
  </si>
  <si>
    <r>
      <t xml:space="preserve">1. </t>
    </r>
    <r>
      <rPr>
        <b/>
        <sz val="10"/>
        <color rgb="FF222222"/>
        <rFont val="Arial"/>
        <family val="2"/>
      </rPr>
      <t>Control (no CPA, no treatment)</t>
    </r>
  </si>
  <si>
    <r>
      <t xml:space="preserve">2. </t>
    </r>
    <r>
      <rPr>
        <b/>
        <sz val="10"/>
        <color rgb="FF222222"/>
        <rFont val="Arial"/>
        <family val="2"/>
      </rPr>
      <t>Spray control (no CPA, spray only)</t>
    </r>
  </si>
  <si>
    <r>
      <t xml:space="preserve">3. </t>
    </r>
    <r>
      <rPr>
        <b/>
        <sz val="10"/>
        <color rgb="FF222222"/>
        <rFont val="Arial"/>
        <family val="2"/>
      </rPr>
      <t>Cryoaerosol group (CPA, vitrification, and rewarming)</t>
    </r>
  </si>
  <si>
    <r>
      <t xml:space="preserve">4. </t>
    </r>
    <r>
      <rPr>
        <b/>
        <sz val="10"/>
        <color rgb="FF222222"/>
        <rFont val="Arial"/>
        <family val="2"/>
      </rPr>
      <t>Cryotop 20 µL (CPA, cooling and rewarming)</t>
    </r>
  </si>
  <si>
    <t>Control_10X_0001_GFP</t>
  </si>
  <si>
    <t>2. CPA Treatment Control</t>
  </si>
  <si>
    <t>3. Spray Control</t>
  </si>
  <si>
    <t>Group1_Control_10X_0001_GFP</t>
  </si>
  <si>
    <t>Rep 1</t>
  </si>
  <si>
    <t xml:space="preserve">Experimental Group </t>
  </si>
  <si>
    <t xml:space="preserve">control  </t>
  </si>
  <si>
    <t>Spray control</t>
  </si>
  <si>
    <t>Cryoaerosolization and Rewarming</t>
  </si>
  <si>
    <t>Convective Cooling and rewarming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</si>
</sst>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222222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1" fillId="0" borderId="0" xfId="0" applyFont="1"/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/>
    <xf numFmtId="164" fontId="0" fillId="0" borderId="0" xfId="0" applyNumberFormat="1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readingOrder="1"/>
    </xf>
    <xf numFmtId="1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0" fillId="0" borderId="3" xfId="0" applyBorder="1"/>
    <xf numFmtId="2" fontId="0" fillId="0" borderId="4" xfId="0" applyNumberFormat="1" applyBorder="1" applyAlignment="1">
      <alignment horizontal="center"/>
    </xf>
    <xf numFmtId="0" fontId="2" fillId="0" borderId="3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2" fontId="0" fillId="0" borderId="6" xfId="0" applyNumberForma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 vertical="center" indent="1"/>
    </xf>
    <xf numFmtId="0" fontId="2" fillId="0" borderId="5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left" vertical="center" readingOrder="1"/>
    </xf>
    <xf numFmtId="0" fontId="3" fillId="0" borderId="5" xfId="0" applyFont="1" applyBorder="1" applyAlignment="1">
      <alignment horizontal="left" vertical="center" readingOrder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1"/>
  <sheetViews>
    <sheetView workbookViewId="0">
      <selection activeCell="I19" sqref="I19"/>
    </sheetView>
  </sheetViews>
  <sheetFormatPr defaultRowHeight="14.4" x14ac:dyDescent="0.3"/>
  <cols>
    <col min="1" max="1" width="23" customWidth="1"/>
    <col min="2" max="2" width="18.6640625" style="1" customWidth="1"/>
    <col min="3" max="3" width="11" style="1" customWidth="1"/>
    <col min="4" max="4" width="17.88671875" style="1" customWidth="1"/>
    <col min="5" max="5" width="10.6640625" style="1" customWidth="1"/>
    <col min="6" max="6" width="23.5546875" style="1" customWidth="1"/>
    <col min="7" max="7" width="13" style="9" customWidth="1"/>
    <col min="9" max="9" width="41" customWidth="1"/>
  </cols>
  <sheetData>
    <row r="1" spans="1:9" x14ac:dyDescent="0.3">
      <c r="A1" s="3" t="s">
        <v>0</v>
      </c>
      <c r="B1" s="18"/>
      <c r="C1" s="8"/>
      <c r="D1" s="8"/>
      <c r="E1" s="8"/>
      <c r="F1" s="8"/>
    </row>
    <row r="2" spans="1:9" x14ac:dyDescent="0.3">
      <c r="B2" s="19"/>
      <c r="C2" s="8"/>
      <c r="D2" s="8"/>
      <c r="E2" s="8"/>
      <c r="F2" s="8"/>
    </row>
    <row r="3" spans="1:9" x14ac:dyDescent="0.3">
      <c r="A3" s="21" t="s">
        <v>171</v>
      </c>
      <c r="B3" s="6" t="s">
        <v>149</v>
      </c>
      <c r="C3" s="6" t="s">
        <v>2</v>
      </c>
      <c r="D3" s="6" t="s">
        <v>150</v>
      </c>
      <c r="E3" s="8" t="s">
        <v>3</v>
      </c>
      <c r="F3" s="8" t="s">
        <v>92</v>
      </c>
      <c r="G3" s="8" t="s">
        <v>1</v>
      </c>
    </row>
    <row r="4" spans="1:9" x14ac:dyDescent="0.3">
      <c r="A4" t="s">
        <v>166</v>
      </c>
      <c r="B4" s="1">
        <v>982</v>
      </c>
      <c r="C4" s="1">
        <f>B4+D4</f>
        <v>1052</v>
      </c>
      <c r="D4" s="1">
        <v>70</v>
      </c>
      <c r="E4" s="4">
        <f>100*(D4/(C4))</f>
        <v>6.6539923954372622</v>
      </c>
      <c r="F4" s="12">
        <v>1307.875</v>
      </c>
      <c r="G4" s="10">
        <f>B4*(100/F4)</f>
        <v>75.083628022555672</v>
      </c>
      <c r="I4" s="3" t="s">
        <v>161</v>
      </c>
    </row>
    <row r="5" spans="1:9" x14ac:dyDescent="0.3">
      <c r="A5" t="s">
        <v>94</v>
      </c>
      <c r="B5" s="1">
        <v>1062</v>
      </c>
      <c r="C5" s="1">
        <f t="shared" ref="C5:C10" si="0">B5+D5</f>
        <v>1184</v>
      </c>
      <c r="D5" s="1">
        <v>122</v>
      </c>
      <c r="E5" s="4">
        <f t="shared" ref="E5:E11" si="1">100*(D5/(C5))</f>
        <v>10.304054054054054</v>
      </c>
      <c r="F5" s="12">
        <v>1307.875</v>
      </c>
      <c r="G5" s="10">
        <f t="shared" ref="G5:G11" si="2">B5*(100/F5)</f>
        <v>81.200420529484859</v>
      </c>
      <c r="I5" s="16" t="s">
        <v>157</v>
      </c>
    </row>
    <row r="6" spans="1:9" x14ac:dyDescent="0.3">
      <c r="A6" t="s">
        <v>95</v>
      </c>
      <c r="B6" s="1">
        <v>1173</v>
      </c>
      <c r="C6" s="1">
        <f t="shared" si="0"/>
        <v>1285</v>
      </c>
      <c r="D6" s="1">
        <v>112</v>
      </c>
      <c r="E6" s="4">
        <f t="shared" si="1"/>
        <v>8.7159533073929953</v>
      </c>
      <c r="F6" s="12">
        <v>1307.875</v>
      </c>
      <c r="G6" s="10">
        <f t="shared" si="2"/>
        <v>89.6874701328491</v>
      </c>
      <c r="I6" s="16" t="s">
        <v>167</v>
      </c>
    </row>
    <row r="7" spans="1:9" x14ac:dyDescent="0.3">
      <c r="A7" t="s">
        <v>96</v>
      </c>
      <c r="B7" s="1">
        <v>1325</v>
      </c>
      <c r="C7" s="1">
        <f t="shared" si="0"/>
        <v>1399</v>
      </c>
      <c r="D7" s="1">
        <v>74</v>
      </c>
      <c r="E7" s="4">
        <f t="shared" si="1"/>
        <v>5.2894924946390285</v>
      </c>
      <c r="F7" s="12">
        <v>1307.875</v>
      </c>
      <c r="G7" s="10">
        <f t="shared" si="2"/>
        <v>101.30937589601453</v>
      </c>
      <c r="I7" s="16" t="s">
        <v>168</v>
      </c>
    </row>
    <row r="8" spans="1:9" x14ac:dyDescent="0.3">
      <c r="A8" t="s">
        <v>97</v>
      </c>
      <c r="B8" s="1">
        <v>1392</v>
      </c>
      <c r="C8" s="1">
        <f t="shared" si="0"/>
        <v>1484</v>
      </c>
      <c r="D8" s="1">
        <v>92</v>
      </c>
      <c r="E8" s="4">
        <f t="shared" si="1"/>
        <v>6.1994609164420487</v>
      </c>
      <c r="F8" s="12">
        <v>1307.875</v>
      </c>
      <c r="G8" s="10">
        <f t="shared" si="2"/>
        <v>106.43218962056773</v>
      </c>
      <c r="I8" s="16"/>
    </row>
    <row r="9" spans="1:9" x14ac:dyDescent="0.3">
      <c r="A9" t="s">
        <v>98</v>
      </c>
      <c r="B9" s="1">
        <v>1348</v>
      </c>
      <c r="C9" s="1">
        <f t="shared" si="0"/>
        <v>1410</v>
      </c>
      <c r="D9" s="6">
        <v>62</v>
      </c>
      <c r="E9" s="4">
        <f t="shared" si="1"/>
        <v>4.3971631205673756</v>
      </c>
      <c r="F9" s="12">
        <v>1307.875</v>
      </c>
      <c r="G9" s="10">
        <f t="shared" si="2"/>
        <v>103.06795374175668</v>
      </c>
    </row>
    <row r="10" spans="1:9" x14ac:dyDescent="0.3">
      <c r="A10" t="s">
        <v>99</v>
      </c>
      <c r="B10" s="1">
        <v>1384</v>
      </c>
      <c r="C10" s="1">
        <f t="shared" si="0"/>
        <v>1471</v>
      </c>
      <c r="D10" s="1">
        <v>87</v>
      </c>
      <c r="E10" s="4">
        <f t="shared" si="1"/>
        <v>5.9143439836845682</v>
      </c>
      <c r="F10" s="12">
        <v>1307.875</v>
      </c>
      <c r="G10" s="10">
        <f t="shared" si="2"/>
        <v>105.82051036987481</v>
      </c>
    </row>
    <row r="11" spans="1:9" x14ac:dyDescent="0.3">
      <c r="A11" t="s">
        <v>100</v>
      </c>
      <c r="B11" s="1">
        <v>1063</v>
      </c>
      <c r="C11" s="1">
        <f>B11+D11</f>
        <v>1178</v>
      </c>
      <c r="D11" s="1">
        <v>115</v>
      </c>
      <c r="E11" s="4">
        <f t="shared" si="1"/>
        <v>9.762308998302208</v>
      </c>
      <c r="F11" s="12">
        <v>1307.875</v>
      </c>
      <c r="G11" s="10">
        <f t="shared" si="2"/>
        <v>81.276880435821468</v>
      </c>
    </row>
    <row r="12" spans="1:9" x14ac:dyDescent="0.3">
      <c r="E12" s="4"/>
      <c r="F12" s="12"/>
    </row>
    <row r="13" spans="1:9" x14ac:dyDescent="0.3">
      <c r="A13" t="s">
        <v>128</v>
      </c>
      <c r="B13" s="1">
        <v>1229</v>
      </c>
      <c r="C13" s="1">
        <f>B13+D13</f>
        <v>1415</v>
      </c>
      <c r="D13" s="1">
        <v>186</v>
      </c>
      <c r="E13" s="4">
        <f>100*(D13/(C13))</f>
        <v>13.14487632508834</v>
      </c>
      <c r="F13" s="12">
        <v>1307.875</v>
      </c>
      <c r="G13" s="10">
        <f>B13*(100/F13)</f>
        <v>93.969224887699525</v>
      </c>
    </row>
    <row r="14" spans="1:9" x14ac:dyDescent="0.3">
      <c r="A14" t="s">
        <v>129</v>
      </c>
      <c r="B14" s="1">
        <v>1379</v>
      </c>
      <c r="C14" s="1">
        <f t="shared" ref="C14:C21" si="3">B14+D14</f>
        <v>1611</v>
      </c>
      <c r="D14" s="1">
        <v>232</v>
      </c>
      <c r="E14" s="4">
        <f t="shared" ref="E14:E21" si="4">100*(D14/(C14))</f>
        <v>14.400993171942892</v>
      </c>
      <c r="F14" s="12">
        <v>1307.875</v>
      </c>
      <c r="G14" s="10">
        <f t="shared" ref="G14:G21" si="5">B14*(100/F14)</f>
        <v>105.43821083819174</v>
      </c>
    </row>
    <row r="15" spans="1:9" x14ac:dyDescent="0.3">
      <c r="A15" t="s">
        <v>130</v>
      </c>
      <c r="B15" s="1">
        <v>1174</v>
      </c>
      <c r="C15" s="1">
        <f t="shared" si="3"/>
        <v>1332</v>
      </c>
      <c r="D15" s="1">
        <v>158</v>
      </c>
      <c r="E15" s="4">
        <f t="shared" si="4"/>
        <v>11.861861861861863</v>
      </c>
      <c r="F15" s="12">
        <v>1307.875</v>
      </c>
      <c r="G15" s="10">
        <f t="shared" si="5"/>
        <v>89.763930039185709</v>
      </c>
    </row>
    <row r="16" spans="1:9" x14ac:dyDescent="0.3">
      <c r="A16" t="s">
        <v>131</v>
      </c>
      <c r="B16" s="1">
        <v>1150</v>
      </c>
      <c r="C16" s="1">
        <f t="shared" si="3"/>
        <v>1390</v>
      </c>
      <c r="D16" s="1">
        <v>240</v>
      </c>
      <c r="E16" s="4">
        <f t="shared" si="4"/>
        <v>17.266187050359711</v>
      </c>
      <c r="F16" s="12">
        <v>1307.875</v>
      </c>
      <c r="G16" s="10">
        <f t="shared" si="5"/>
        <v>87.928892287106962</v>
      </c>
    </row>
    <row r="17" spans="1:14" x14ac:dyDescent="0.3">
      <c r="A17" t="s">
        <v>132</v>
      </c>
      <c r="B17" s="1">
        <v>1056</v>
      </c>
      <c r="C17" s="1">
        <f t="shared" si="3"/>
        <v>1164</v>
      </c>
      <c r="D17" s="6">
        <v>108</v>
      </c>
      <c r="E17" s="4">
        <f t="shared" si="4"/>
        <v>9.2783505154639183</v>
      </c>
      <c r="F17" s="12">
        <v>1307.875</v>
      </c>
      <c r="G17" s="10">
        <f t="shared" si="5"/>
        <v>80.741661091465176</v>
      </c>
    </row>
    <row r="18" spans="1:14" x14ac:dyDescent="0.3">
      <c r="A18" t="s">
        <v>133</v>
      </c>
      <c r="B18" s="1">
        <v>1388</v>
      </c>
      <c r="C18" s="1">
        <f t="shared" si="3"/>
        <v>1676</v>
      </c>
      <c r="D18" s="1">
        <v>288</v>
      </c>
      <c r="E18" s="4">
        <f t="shared" si="4"/>
        <v>17.183770883054891</v>
      </c>
      <c r="F18" s="12">
        <v>1307.875</v>
      </c>
      <c r="G18" s="10">
        <f t="shared" si="5"/>
        <v>106.12634999522126</v>
      </c>
    </row>
    <row r="19" spans="1:14" x14ac:dyDescent="0.3">
      <c r="A19" t="s">
        <v>134</v>
      </c>
      <c r="B19" s="1">
        <v>1289</v>
      </c>
      <c r="C19" s="1">
        <f t="shared" si="3"/>
        <v>1410</v>
      </c>
      <c r="D19" s="1">
        <v>121</v>
      </c>
      <c r="E19" s="4">
        <f t="shared" si="4"/>
        <v>8.5815602836879439</v>
      </c>
      <c r="F19" s="12">
        <v>1307.875</v>
      </c>
      <c r="G19" s="10">
        <f t="shared" si="5"/>
        <v>98.556819267896401</v>
      </c>
    </row>
    <row r="20" spans="1:14" x14ac:dyDescent="0.3">
      <c r="A20" t="s">
        <v>135</v>
      </c>
      <c r="B20" s="1">
        <v>853</v>
      </c>
      <c r="C20" s="1">
        <f t="shared" si="3"/>
        <v>923</v>
      </c>
      <c r="D20" s="1">
        <v>70</v>
      </c>
      <c r="E20" s="4">
        <f t="shared" si="4"/>
        <v>7.5839653304442036</v>
      </c>
      <c r="F20" s="12">
        <v>1307.875</v>
      </c>
      <c r="G20" s="10">
        <f t="shared" si="5"/>
        <v>65.220300105132381</v>
      </c>
    </row>
    <row r="21" spans="1:14" x14ac:dyDescent="0.3">
      <c r="A21" t="s">
        <v>136</v>
      </c>
      <c r="B21" s="1">
        <v>1081</v>
      </c>
      <c r="C21" s="1">
        <f t="shared" si="3"/>
        <v>1231</v>
      </c>
      <c r="D21" s="1">
        <v>150</v>
      </c>
      <c r="E21" s="4">
        <f t="shared" si="4"/>
        <v>12.185215272136475</v>
      </c>
      <c r="F21" s="12">
        <v>1307.875</v>
      </c>
      <c r="G21" s="10">
        <f t="shared" si="5"/>
        <v>82.653158749880532</v>
      </c>
    </row>
    <row r="22" spans="1:14" x14ac:dyDescent="0.3">
      <c r="F22" s="12"/>
    </row>
    <row r="23" spans="1:14" x14ac:dyDescent="0.3">
      <c r="A23" t="s">
        <v>137</v>
      </c>
      <c r="B23" s="1">
        <v>1520</v>
      </c>
      <c r="C23" s="1">
        <f>B23+D23</f>
        <v>1646</v>
      </c>
      <c r="D23" s="1">
        <v>126</v>
      </c>
      <c r="E23" s="4">
        <f>100*(D23/(C23))</f>
        <v>7.6549210206561362</v>
      </c>
      <c r="F23" s="12">
        <v>1307.875</v>
      </c>
      <c r="G23" s="10">
        <f>B23*(100/F23)</f>
        <v>116.21905763165441</v>
      </c>
    </row>
    <row r="24" spans="1:14" x14ac:dyDescent="0.3">
      <c r="A24" t="s">
        <v>138</v>
      </c>
      <c r="B24" s="1">
        <v>1395</v>
      </c>
      <c r="C24" s="1">
        <f t="shared" ref="C24:C31" si="6">B24+D24</f>
        <v>1443</v>
      </c>
      <c r="D24" s="6">
        <v>48</v>
      </c>
      <c r="E24" s="4">
        <f t="shared" ref="E24:E31" si="7">100*(D24/(C24))</f>
        <v>3.3264033264033266</v>
      </c>
      <c r="F24" s="12">
        <v>1307.875</v>
      </c>
      <c r="G24" s="10">
        <f t="shared" ref="G24:G31" si="8">B24*(100/F24)</f>
        <v>106.66156933957757</v>
      </c>
    </row>
    <row r="25" spans="1:14" x14ac:dyDescent="0.3">
      <c r="A25" t="s">
        <v>139</v>
      </c>
      <c r="B25" s="1">
        <v>1483</v>
      </c>
      <c r="C25" s="1">
        <f t="shared" si="6"/>
        <v>1535</v>
      </c>
      <c r="D25" s="1">
        <v>52</v>
      </c>
      <c r="E25" s="4">
        <f t="shared" si="7"/>
        <v>3.3876221498371337</v>
      </c>
      <c r="F25" s="12">
        <v>1307.875</v>
      </c>
      <c r="G25" s="10">
        <f t="shared" si="8"/>
        <v>113.39004109719967</v>
      </c>
      <c r="I25" s="6"/>
      <c r="J25" s="5"/>
      <c r="L25" s="5"/>
      <c r="M25" s="3"/>
      <c r="N25" s="5"/>
    </row>
    <row r="26" spans="1:14" x14ac:dyDescent="0.3">
      <c r="A26" t="s">
        <v>140</v>
      </c>
      <c r="B26" s="1">
        <v>1545</v>
      </c>
      <c r="C26" s="1">
        <f t="shared" si="6"/>
        <v>1582</v>
      </c>
      <c r="D26" s="1">
        <v>37</v>
      </c>
      <c r="E26" s="4">
        <f t="shared" si="7"/>
        <v>2.338811630847029</v>
      </c>
      <c r="F26" s="12">
        <v>1307.875</v>
      </c>
      <c r="G26" s="10">
        <f t="shared" si="8"/>
        <v>118.13055529006978</v>
      </c>
    </row>
    <row r="27" spans="1:14" x14ac:dyDescent="0.3">
      <c r="A27" t="s">
        <v>141</v>
      </c>
      <c r="B27" s="1">
        <v>1593</v>
      </c>
      <c r="C27" s="1">
        <f t="shared" si="6"/>
        <v>1681</v>
      </c>
      <c r="D27" s="1">
        <v>88</v>
      </c>
      <c r="E27" s="4">
        <f t="shared" si="7"/>
        <v>5.2349791790600833</v>
      </c>
      <c r="F27" s="12">
        <v>1307.875</v>
      </c>
      <c r="G27" s="10">
        <f t="shared" si="8"/>
        <v>121.80063079422729</v>
      </c>
    </row>
    <row r="28" spans="1:14" x14ac:dyDescent="0.3">
      <c r="A28" t="s">
        <v>142</v>
      </c>
      <c r="B28" s="1">
        <v>1272</v>
      </c>
      <c r="C28" s="1">
        <f t="shared" si="6"/>
        <v>1321</v>
      </c>
      <c r="D28" s="1">
        <v>49</v>
      </c>
      <c r="E28" s="4">
        <f t="shared" si="7"/>
        <v>3.7093111279333839</v>
      </c>
      <c r="F28" s="12">
        <v>1307.875</v>
      </c>
      <c r="G28" s="10">
        <f t="shared" si="8"/>
        <v>97.25700086017396</v>
      </c>
    </row>
    <row r="29" spans="1:14" x14ac:dyDescent="0.3">
      <c r="A29" t="s">
        <v>143</v>
      </c>
      <c r="B29" s="1">
        <v>1158</v>
      </c>
      <c r="C29" s="1">
        <f t="shared" si="6"/>
        <v>1209</v>
      </c>
      <c r="D29" s="1">
        <v>51</v>
      </c>
      <c r="E29" s="4">
        <f t="shared" si="7"/>
        <v>4.2183622828784122</v>
      </c>
      <c r="F29" s="12">
        <v>1307.875</v>
      </c>
      <c r="G29" s="10">
        <f t="shared" si="8"/>
        <v>88.540571537799877</v>
      </c>
    </row>
    <row r="30" spans="1:14" x14ac:dyDescent="0.3">
      <c r="A30" t="s">
        <v>144</v>
      </c>
      <c r="B30" s="1">
        <v>1192</v>
      </c>
      <c r="C30" s="1">
        <f t="shared" si="6"/>
        <v>1290</v>
      </c>
      <c r="D30" s="1">
        <v>98</v>
      </c>
      <c r="E30" s="4">
        <f t="shared" si="7"/>
        <v>7.5968992248062017</v>
      </c>
      <c r="F30" s="12">
        <v>1307.875</v>
      </c>
      <c r="G30" s="10">
        <f t="shared" si="8"/>
        <v>91.140208353244773</v>
      </c>
    </row>
    <row r="31" spans="1:14" x14ac:dyDescent="0.3">
      <c r="A31" t="s">
        <v>145</v>
      </c>
      <c r="B31" s="1">
        <v>1472</v>
      </c>
      <c r="C31" s="1">
        <f t="shared" si="6"/>
        <v>1554</v>
      </c>
      <c r="D31" s="1">
        <v>82</v>
      </c>
      <c r="E31" s="4">
        <f t="shared" si="7"/>
        <v>5.2767052767052771</v>
      </c>
      <c r="F31" s="12">
        <v>1307.875</v>
      </c>
      <c r="G31" s="10">
        <f t="shared" si="8"/>
        <v>112.5489821274969</v>
      </c>
    </row>
    <row r="32" spans="1:14" x14ac:dyDescent="0.3">
      <c r="A32" s="6"/>
      <c r="B32" s="5"/>
      <c r="C32" s="5"/>
      <c r="D32" s="5"/>
      <c r="E32" s="5"/>
      <c r="F32" s="12"/>
      <c r="G32" s="10"/>
    </row>
    <row r="33" spans="1:7" x14ac:dyDescent="0.3">
      <c r="E33" s="4"/>
      <c r="F33" s="12"/>
    </row>
    <row r="34" spans="1:7" x14ac:dyDescent="0.3">
      <c r="B34" s="6"/>
      <c r="C34" s="6"/>
      <c r="D34" s="6"/>
      <c r="E34" s="6"/>
      <c r="F34" s="20"/>
    </row>
    <row r="35" spans="1:7" x14ac:dyDescent="0.3">
      <c r="E35" s="4"/>
      <c r="F35" s="12"/>
      <c r="G35" s="10"/>
    </row>
    <row r="36" spans="1:7" x14ac:dyDescent="0.3">
      <c r="E36" s="4"/>
      <c r="F36" s="12"/>
      <c r="G36" s="10"/>
    </row>
    <row r="37" spans="1:7" x14ac:dyDescent="0.3">
      <c r="E37" s="4"/>
      <c r="F37" s="12"/>
      <c r="G37" s="10"/>
    </row>
    <row r="38" spans="1:7" x14ac:dyDescent="0.3">
      <c r="E38" s="4"/>
      <c r="F38" s="12"/>
      <c r="G38" s="10"/>
    </row>
    <row r="39" spans="1:7" x14ac:dyDescent="0.3">
      <c r="E39" s="4"/>
      <c r="F39" s="12"/>
      <c r="G39" s="10"/>
    </row>
    <row r="40" spans="1:7" x14ac:dyDescent="0.3">
      <c r="E40" s="4"/>
      <c r="F40" s="12"/>
      <c r="G40" s="10"/>
    </row>
    <row r="41" spans="1:7" x14ac:dyDescent="0.3">
      <c r="E41" s="4"/>
      <c r="F41" s="12"/>
      <c r="G41" s="10"/>
    </row>
    <row r="42" spans="1:7" x14ac:dyDescent="0.3">
      <c r="E42" s="4"/>
      <c r="F42" s="12"/>
      <c r="G42" s="10"/>
    </row>
    <row r="43" spans="1:7" x14ac:dyDescent="0.3">
      <c r="E43" s="4"/>
      <c r="F43" s="12"/>
      <c r="G43" s="10"/>
    </row>
    <row r="44" spans="1:7" x14ac:dyDescent="0.3">
      <c r="A44" s="6"/>
      <c r="B44" s="5"/>
      <c r="D44" s="5"/>
      <c r="E44" s="5"/>
      <c r="F44" s="12"/>
      <c r="G44" s="10"/>
    </row>
    <row r="45" spans="1:7" x14ac:dyDescent="0.3">
      <c r="F45" s="12"/>
    </row>
    <row r="46" spans="1:7" x14ac:dyDescent="0.3">
      <c r="F46" s="20"/>
    </row>
    <row r="47" spans="1:7" x14ac:dyDescent="0.3">
      <c r="F47" s="12"/>
      <c r="G47" s="10"/>
    </row>
    <row r="48" spans="1:7" x14ac:dyDescent="0.3">
      <c r="F48" s="12"/>
      <c r="G48" s="10"/>
    </row>
    <row r="49" spans="6:7" x14ac:dyDescent="0.3">
      <c r="F49" s="12"/>
      <c r="G49" s="10"/>
    </row>
    <row r="50" spans="6:7" x14ac:dyDescent="0.3">
      <c r="F50" s="12"/>
      <c r="G50" s="10"/>
    </row>
    <row r="51" spans="6:7" x14ac:dyDescent="0.3">
      <c r="F51" s="12"/>
      <c r="G51" s="10"/>
    </row>
    <row r="52" spans="6:7" x14ac:dyDescent="0.3">
      <c r="F52" s="12"/>
      <c r="G52" s="10"/>
    </row>
    <row r="53" spans="6:7" x14ac:dyDescent="0.3">
      <c r="F53" s="12"/>
      <c r="G53" s="10"/>
    </row>
    <row r="54" spans="6:7" x14ac:dyDescent="0.3">
      <c r="F54" s="12"/>
      <c r="G54" s="10"/>
    </row>
    <row r="55" spans="6:7" x14ac:dyDescent="0.3">
      <c r="F55" s="12"/>
      <c r="G55" s="10"/>
    </row>
    <row r="56" spans="6:7" x14ac:dyDescent="0.3">
      <c r="F56" s="12"/>
      <c r="G56" s="10"/>
    </row>
    <row r="57" spans="6:7" x14ac:dyDescent="0.3">
      <c r="F57" s="12"/>
    </row>
    <row r="58" spans="6:7" x14ac:dyDescent="0.3">
      <c r="F58" s="20"/>
    </row>
    <row r="59" spans="6:7" x14ac:dyDescent="0.3">
      <c r="F59" s="12"/>
      <c r="G59" s="10"/>
    </row>
    <row r="60" spans="6:7" x14ac:dyDescent="0.3">
      <c r="F60" s="12"/>
      <c r="G60" s="10"/>
    </row>
    <row r="61" spans="6:7" x14ac:dyDescent="0.3">
      <c r="F61" s="12"/>
      <c r="G61" s="10"/>
    </row>
    <row r="62" spans="6:7" x14ac:dyDescent="0.3">
      <c r="F62" s="12"/>
      <c r="G62" s="10"/>
    </row>
    <row r="63" spans="6:7" x14ac:dyDescent="0.3">
      <c r="F63" s="12"/>
      <c r="G63" s="10"/>
    </row>
    <row r="64" spans="6:7" x14ac:dyDescent="0.3">
      <c r="F64" s="12"/>
      <c r="G64" s="10"/>
    </row>
    <row r="65" spans="6:7" x14ac:dyDescent="0.3">
      <c r="F65" s="12"/>
      <c r="G65" s="10"/>
    </row>
    <row r="66" spans="6:7" x14ac:dyDescent="0.3">
      <c r="F66" s="12"/>
      <c r="G66" s="10"/>
    </row>
    <row r="67" spans="6:7" x14ac:dyDescent="0.3">
      <c r="F67" s="12"/>
      <c r="G67" s="10"/>
    </row>
    <row r="68" spans="6:7" x14ac:dyDescent="0.3">
      <c r="F68" s="12"/>
      <c r="G68" s="10"/>
    </row>
    <row r="71" spans="6:7" x14ac:dyDescent="0.3">
      <c r="F71" s="6"/>
    </row>
    <row r="72" spans="6:7" x14ac:dyDescent="0.3">
      <c r="F72" s="4"/>
      <c r="G72" s="10"/>
    </row>
    <row r="73" spans="6:7" x14ac:dyDescent="0.3">
      <c r="F73" s="4"/>
      <c r="G73" s="10"/>
    </row>
    <row r="74" spans="6:7" x14ac:dyDescent="0.3">
      <c r="F74" s="4"/>
      <c r="G74" s="10"/>
    </row>
    <row r="75" spans="6:7" x14ac:dyDescent="0.3">
      <c r="F75" s="4"/>
      <c r="G75" s="10"/>
    </row>
    <row r="76" spans="6:7" x14ac:dyDescent="0.3">
      <c r="F76" s="4"/>
      <c r="G76" s="10"/>
    </row>
    <row r="77" spans="6:7" x14ac:dyDescent="0.3">
      <c r="F77" s="4"/>
      <c r="G77" s="10"/>
    </row>
    <row r="78" spans="6:7" x14ac:dyDescent="0.3">
      <c r="F78" s="4"/>
      <c r="G78" s="10"/>
    </row>
    <row r="79" spans="6:7" x14ac:dyDescent="0.3">
      <c r="F79" s="4"/>
      <c r="G79" s="10"/>
    </row>
    <row r="80" spans="6:7" x14ac:dyDescent="0.3">
      <c r="F80" s="4"/>
      <c r="G80" s="10"/>
    </row>
    <row r="81" spans="6:7" x14ac:dyDescent="0.3">
      <c r="F81" s="5"/>
      <c r="G81" s="1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E6363-AF52-47A2-B8C3-1C55C5929F23}">
  <dimension ref="A1:N80"/>
  <sheetViews>
    <sheetView workbookViewId="0">
      <selection activeCell="A3" sqref="A3"/>
    </sheetView>
  </sheetViews>
  <sheetFormatPr defaultRowHeight="14.4" x14ac:dyDescent="0.3"/>
  <cols>
    <col min="1" max="1" width="36.109375" customWidth="1"/>
    <col min="2" max="2" width="16.109375" customWidth="1"/>
    <col min="3" max="3" width="11.88671875" customWidth="1"/>
    <col min="4" max="4" width="16.109375" customWidth="1"/>
    <col min="5" max="5" width="12" customWidth="1"/>
    <col min="6" max="6" width="22.5546875" customWidth="1"/>
    <col min="7" max="7" width="13" style="9" customWidth="1"/>
    <col min="9" max="9" width="93" customWidth="1"/>
  </cols>
  <sheetData>
    <row r="1" spans="1:9" x14ac:dyDescent="0.3">
      <c r="A1" s="3" t="s">
        <v>0</v>
      </c>
      <c r="B1" s="7"/>
      <c r="C1" s="8"/>
      <c r="D1" s="8"/>
      <c r="E1" s="8"/>
      <c r="F1" s="8"/>
    </row>
    <row r="2" spans="1:9" x14ac:dyDescent="0.3">
      <c r="B2" s="2"/>
      <c r="C2" s="8"/>
      <c r="D2" s="8"/>
      <c r="E2" s="8"/>
      <c r="F2" s="8"/>
    </row>
    <row r="3" spans="1:9" x14ac:dyDescent="0.3">
      <c r="A3" s="21" t="s">
        <v>171</v>
      </c>
      <c r="B3" s="6" t="s">
        <v>149</v>
      </c>
      <c r="C3" s="6" t="s">
        <v>2</v>
      </c>
      <c r="D3" s="6" t="s">
        <v>150</v>
      </c>
      <c r="E3" s="8" t="s">
        <v>3</v>
      </c>
      <c r="F3" s="8" t="s">
        <v>92</v>
      </c>
      <c r="G3" s="8" t="s">
        <v>1</v>
      </c>
    </row>
    <row r="4" spans="1:9" x14ac:dyDescent="0.3">
      <c r="A4" t="s">
        <v>166</v>
      </c>
      <c r="B4">
        <v>746</v>
      </c>
      <c r="C4" s="1">
        <f>B4+D4</f>
        <v>770</v>
      </c>
      <c r="D4">
        <v>24</v>
      </c>
      <c r="E4" s="4">
        <f>100*(D4/(C4))</f>
        <v>3.116883116883117</v>
      </c>
      <c r="F4" s="12">
        <v>784</v>
      </c>
      <c r="G4" s="10">
        <f t="shared" ref="G4:G9" si="0">B4*(100/F4)</f>
        <v>95.153061224489804</v>
      </c>
    </row>
    <row r="5" spans="1:9" x14ac:dyDescent="0.3">
      <c r="A5" t="s">
        <v>93</v>
      </c>
      <c r="B5">
        <v>777</v>
      </c>
      <c r="C5" s="1">
        <f>B5+D5</f>
        <v>817</v>
      </c>
      <c r="D5">
        <v>40</v>
      </c>
      <c r="E5" s="4">
        <f>100*(D5/(C5))</f>
        <v>4.8959608323133414</v>
      </c>
      <c r="F5" s="12">
        <v>784</v>
      </c>
      <c r="G5" s="10">
        <f t="shared" si="0"/>
        <v>99.107142857142861</v>
      </c>
      <c r="I5" s="3" t="s">
        <v>161</v>
      </c>
    </row>
    <row r="6" spans="1:9" x14ac:dyDescent="0.3">
      <c r="A6" t="s">
        <v>94</v>
      </c>
      <c r="B6">
        <v>663</v>
      </c>
      <c r="C6" s="1">
        <f>B6+D6</f>
        <v>697</v>
      </c>
      <c r="D6">
        <v>34</v>
      </c>
      <c r="E6" s="4">
        <f>100*(D6/(C6))</f>
        <v>4.8780487804878048</v>
      </c>
      <c r="F6" s="12">
        <v>784</v>
      </c>
      <c r="G6" s="10">
        <f t="shared" si="0"/>
        <v>84.566326530612244</v>
      </c>
      <c r="I6" s="16" t="s">
        <v>157</v>
      </c>
    </row>
    <row r="7" spans="1:9" x14ac:dyDescent="0.3">
      <c r="A7" t="s">
        <v>95</v>
      </c>
      <c r="B7">
        <v>694</v>
      </c>
      <c r="C7" s="1">
        <f>B7+D7</f>
        <v>726</v>
      </c>
      <c r="D7">
        <v>32</v>
      </c>
      <c r="E7" s="4">
        <f t="shared" ref="E7:E12" si="1">100*(D7/(C7))</f>
        <v>4.4077134986225897</v>
      </c>
      <c r="F7" s="12">
        <v>784</v>
      </c>
      <c r="G7" s="10">
        <f t="shared" si="0"/>
        <v>88.520408163265301</v>
      </c>
      <c r="I7" s="16" t="s">
        <v>158</v>
      </c>
    </row>
    <row r="8" spans="1:9" x14ac:dyDescent="0.3">
      <c r="A8" t="s">
        <v>96</v>
      </c>
      <c r="B8">
        <v>887</v>
      </c>
      <c r="C8" s="1">
        <f t="shared" ref="C8:C12" si="2">B8+D8</f>
        <v>925</v>
      </c>
      <c r="D8">
        <v>38</v>
      </c>
      <c r="E8" s="4">
        <f t="shared" si="1"/>
        <v>4.1081081081081079</v>
      </c>
      <c r="F8" s="12">
        <v>784</v>
      </c>
      <c r="G8" s="10">
        <f t="shared" si="0"/>
        <v>113.13775510204081</v>
      </c>
      <c r="I8" s="16" t="s">
        <v>159</v>
      </c>
    </row>
    <row r="9" spans="1:9" x14ac:dyDescent="0.3">
      <c r="A9" t="s">
        <v>97</v>
      </c>
      <c r="B9">
        <v>902</v>
      </c>
      <c r="C9" s="1">
        <f t="shared" si="2"/>
        <v>931</v>
      </c>
      <c r="D9" s="3">
        <v>29</v>
      </c>
      <c r="E9" s="4">
        <f t="shared" si="1"/>
        <v>3.1149301825993554</v>
      </c>
      <c r="F9" s="12">
        <v>784</v>
      </c>
      <c r="G9" s="10">
        <f t="shared" si="0"/>
        <v>115.05102040816327</v>
      </c>
      <c r="I9" s="16" t="s">
        <v>160</v>
      </c>
    </row>
    <row r="10" spans="1:9" x14ac:dyDescent="0.3">
      <c r="A10" t="s">
        <v>98</v>
      </c>
      <c r="B10">
        <v>678</v>
      </c>
      <c r="C10" s="1">
        <f t="shared" si="2"/>
        <v>722</v>
      </c>
      <c r="D10">
        <v>44</v>
      </c>
      <c r="E10" s="4">
        <f t="shared" si="1"/>
        <v>6.094182825484765</v>
      </c>
      <c r="F10" s="12">
        <v>784</v>
      </c>
      <c r="G10" s="10">
        <f t="shared" ref="G10" si="3">B10*(100/F10)</f>
        <v>86.479591836734699</v>
      </c>
    </row>
    <row r="11" spans="1:9" x14ac:dyDescent="0.3">
      <c r="A11" t="s">
        <v>99</v>
      </c>
      <c r="B11">
        <v>561</v>
      </c>
      <c r="C11" s="1">
        <f t="shared" si="2"/>
        <v>603</v>
      </c>
      <c r="D11">
        <v>42</v>
      </c>
      <c r="E11" s="4">
        <f t="shared" si="1"/>
        <v>6.9651741293532341</v>
      </c>
      <c r="F11" s="12">
        <v>784</v>
      </c>
      <c r="G11" s="10">
        <f>B11*(100/F11)</f>
        <v>71.556122448979593</v>
      </c>
    </row>
    <row r="12" spans="1:9" x14ac:dyDescent="0.3">
      <c r="A12" t="s">
        <v>100</v>
      </c>
      <c r="B12">
        <v>829</v>
      </c>
      <c r="C12" s="1">
        <f t="shared" si="2"/>
        <v>865</v>
      </c>
      <c r="D12">
        <v>36</v>
      </c>
      <c r="E12" s="4">
        <f t="shared" si="1"/>
        <v>4.1618497109826587</v>
      </c>
      <c r="F12" s="12">
        <v>784</v>
      </c>
      <c r="G12" s="10">
        <f>B12*(100/F12)</f>
        <v>105.73979591836735</v>
      </c>
    </row>
    <row r="13" spans="1:9" x14ac:dyDescent="0.3">
      <c r="B13" s="1"/>
      <c r="C13" s="1"/>
      <c r="D13" s="1"/>
      <c r="E13" s="4"/>
      <c r="F13" s="12"/>
    </row>
    <row r="14" spans="1:9" x14ac:dyDescent="0.3">
      <c r="A14" t="s">
        <v>101</v>
      </c>
      <c r="B14">
        <v>190</v>
      </c>
      <c r="C14" s="1">
        <f>B14+D14</f>
        <v>208</v>
      </c>
      <c r="D14">
        <v>18</v>
      </c>
      <c r="E14" s="4">
        <f>100*(D14/(C14))</f>
        <v>8.6538461538461533</v>
      </c>
      <c r="F14" s="12">
        <v>784</v>
      </c>
      <c r="G14" s="10">
        <f>B14*(100/F14)</f>
        <v>24.23469387755102</v>
      </c>
    </row>
    <row r="15" spans="1:9" x14ac:dyDescent="0.3">
      <c r="A15" t="s">
        <v>102</v>
      </c>
      <c r="B15">
        <v>209</v>
      </c>
      <c r="C15" s="1">
        <f t="shared" ref="C15:C22" si="4">B15+D15</f>
        <v>220</v>
      </c>
      <c r="D15">
        <v>11</v>
      </c>
      <c r="E15" s="4">
        <f t="shared" ref="E15:E22" si="5">100*(D15/(C15))</f>
        <v>5</v>
      </c>
      <c r="F15" s="12">
        <v>784</v>
      </c>
      <c r="G15" s="10">
        <f t="shared" ref="G15:G22" si="6">B15*(100/F15)</f>
        <v>26.658163265306122</v>
      </c>
    </row>
    <row r="16" spans="1:9" x14ac:dyDescent="0.3">
      <c r="A16" t="s">
        <v>103</v>
      </c>
      <c r="B16">
        <v>185</v>
      </c>
      <c r="C16" s="1">
        <f t="shared" si="4"/>
        <v>201</v>
      </c>
      <c r="D16">
        <v>16</v>
      </c>
      <c r="E16" s="4">
        <f t="shared" si="5"/>
        <v>7.9601990049751246</v>
      </c>
      <c r="F16" s="12">
        <v>784</v>
      </c>
      <c r="G16" s="10">
        <f t="shared" si="6"/>
        <v>23.596938775510203</v>
      </c>
    </row>
    <row r="17" spans="1:14" x14ac:dyDescent="0.3">
      <c r="A17" t="s">
        <v>104</v>
      </c>
      <c r="B17">
        <v>214</v>
      </c>
      <c r="C17" s="1">
        <f t="shared" si="4"/>
        <v>235</v>
      </c>
      <c r="D17">
        <v>21</v>
      </c>
      <c r="E17" s="4">
        <f t="shared" si="5"/>
        <v>8.9361702127659584</v>
      </c>
      <c r="F17" s="12">
        <v>784</v>
      </c>
      <c r="G17" s="10">
        <f t="shared" si="6"/>
        <v>27.295918367346939</v>
      </c>
    </row>
    <row r="18" spans="1:14" x14ac:dyDescent="0.3">
      <c r="A18" t="s">
        <v>105</v>
      </c>
      <c r="B18">
        <v>193</v>
      </c>
      <c r="C18" s="1">
        <f t="shared" si="4"/>
        <v>216</v>
      </c>
      <c r="D18" s="3">
        <v>23</v>
      </c>
      <c r="E18" s="4">
        <f t="shared" si="5"/>
        <v>10.648148148148149</v>
      </c>
      <c r="F18" s="12">
        <v>784</v>
      </c>
      <c r="G18" s="10">
        <f t="shared" si="6"/>
        <v>24.617346938775512</v>
      </c>
    </row>
    <row r="19" spans="1:14" x14ac:dyDescent="0.3">
      <c r="A19" t="s">
        <v>106</v>
      </c>
      <c r="B19">
        <v>243</v>
      </c>
      <c r="C19" s="1">
        <f t="shared" si="4"/>
        <v>263</v>
      </c>
      <c r="D19">
        <v>20</v>
      </c>
      <c r="E19" s="4">
        <f t="shared" si="5"/>
        <v>7.6045627376425857</v>
      </c>
      <c r="F19" s="12">
        <v>784</v>
      </c>
      <c r="G19" s="10">
        <f t="shared" si="6"/>
        <v>30.994897959183675</v>
      </c>
    </row>
    <row r="20" spans="1:14" x14ac:dyDescent="0.3">
      <c r="A20" t="s">
        <v>107</v>
      </c>
      <c r="B20">
        <v>270</v>
      </c>
      <c r="C20" s="1">
        <f t="shared" si="4"/>
        <v>310</v>
      </c>
      <c r="D20">
        <v>40</v>
      </c>
      <c r="E20" s="4">
        <f t="shared" si="5"/>
        <v>12.903225806451612</v>
      </c>
      <c r="F20" s="12">
        <v>784</v>
      </c>
      <c r="G20" s="10">
        <f t="shared" si="6"/>
        <v>34.438775510204081</v>
      </c>
    </row>
    <row r="21" spans="1:14" x14ac:dyDescent="0.3">
      <c r="A21" t="s">
        <v>108</v>
      </c>
      <c r="B21">
        <v>220</v>
      </c>
      <c r="C21" s="1">
        <f t="shared" si="4"/>
        <v>236</v>
      </c>
      <c r="D21">
        <v>16</v>
      </c>
      <c r="E21" s="4">
        <f t="shared" si="5"/>
        <v>6.7796610169491522</v>
      </c>
      <c r="F21" s="12">
        <v>784</v>
      </c>
      <c r="G21" s="10">
        <f t="shared" si="6"/>
        <v>28.061224489795919</v>
      </c>
    </row>
    <row r="22" spans="1:14" x14ac:dyDescent="0.3">
      <c r="A22" t="s">
        <v>109</v>
      </c>
      <c r="B22">
        <v>205</v>
      </c>
      <c r="C22" s="1">
        <f t="shared" si="4"/>
        <v>222</v>
      </c>
      <c r="D22">
        <v>17</v>
      </c>
      <c r="E22" s="4">
        <f t="shared" si="5"/>
        <v>7.6576576576576567</v>
      </c>
      <c r="F22" s="12">
        <v>784</v>
      </c>
      <c r="G22" s="10">
        <f t="shared" si="6"/>
        <v>26.147959183673471</v>
      </c>
    </row>
    <row r="23" spans="1:14" x14ac:dyDescent="0.3">
      <c r="B23" s="1"/>
      <c r="C23" s="1"/>
      <c r="D23" s="1"/>
      <c r="F23" s="14"/>
    </row>
    <row r="24" spans="1:14" x14ac:dyDescent="0.3">
      <c r="A24" t="s">
        <v>110</v>
      </c>
      <c r="B24">
        <v>1058</v>
      </c>
      <c r="C24" s="1">
        <f>B24+D24</f>
        <v>1100</v>
      </c>
      <c r="D24">
        <v>42</v>
      </c>
      <c r="E24" s="4">
        <f>100*(D24/(C24))</f>
        <v>3.8181818181818183</v>
      </c>
      <c r="F24" s="12">
        <v>784</v>
      </c>
      <c r="G24" s="10">
        <f>B24*(100/F24)</f>
        <v>134.94897959183675</v>
      </c>
    </row>
    <row r="25" spans="1:14" x14ac:dyDescent="0.3">
      <c r="A25" t="s">
        <v>111</v>
      </c>
      <c r="B25">
        <v>1027</v>
      </c>
      <c r="C25" s="1">
        <f t="shared" ref="C25:C32" si="7">B25+D25</f>
        <v>1057</v>
      </c>
      <c r="D25" s="3">
        <v>30</v>
      </c>
      <c r="E25" s="4">
        <f t="shared" ref="E25:E32" si="8">100*(D25/(C25))</f>
        <v>2.838221381267739</v>
      </c>
      <c r="F25" s="12">
        <v>784</v>
      </c>
      <c r="G25" s="10">
        <f>B25*(100/F25)</f>
        <v>130.99489795918367</v>
      </c>
    </row>
    <row r="26" spans="1:14" x14ac:dyDescent="0.3">
      <c r="A26" t="s">
        <v>112</v>
      </c>
      <c r="B26">
        <v>837</v>
      </c>
      <c r="C26" s="1">
        <f t="shared" si="7"/>
        <v>883</v>
      </c>
      <c r="D26">
        <v>46</v>
      </c>
      <c r="E26" s="4">
        <f t="shared" si="8"/>
        <v>5.2095130237825593</v>
      </c>
      <c r="F26" s="12">
        <v>784</v>
      </c>
      <c r="G26" s="10">
        <f>B26*(100/F26)</f>
        <v>106.76020408163265</v>
      </c>
      <c r="I26" s="6"/>
      <c r="J26" s="5"/>
      <c r="L26" s="5"/>
      <c r="M26" s="3"/>
      <c r="N26" s="5"/>
    </row>
    <row r="27" spans="1:14" x14ac:dyDescent="0.3">
      <c r="A27" t="s">
        <v>113</v>
      </c>
      <c r="B27">
        <v>1274</v>
      </c>
      <c r="C27" s="1">
        <f t="shared" si="7"/>
        <v>1326</v>
      </c>
      <c r="D27">
        <v>52</v>
      </c>
      <c r="E27" s="4">
        <f t="shared" si="8"/>
        <v>3.9215686274509802</v>
      </c>
      <c r="F27" s="12">
        <v>784</v>
      </c>
      <c r="G27" s="10">
        <f t="shared" ref="G27:G29" si="9">B27*(100/F27)</f>
        <v>162.5</v>
      </c>
    </row>
    <row r="28" spans="1:14" x14ac:dyDescent="0.3">
      <c r="A28" t="s">
        <v>114</v>
      </c>
      <c r="B28">
        <v>967</v>
      </c>
      <c r="C28" s="1">
        <f t="shared" si="7"/>
        <v>1005</v>
      </c>
      <c r="D28">
        <v>38</v>
      </c>
      <c r="E28" s="4">
        <f t="shared" si="8"/>
        <v>3.7810945273631837</v>
      </c>
      <c r="F28" s="12">
        <v>784</v>
      </c>
      <c r="G28" s="10">
        <f>B28*(100/F28)</f>
        <v>123.34183673469389</v>
      </c>
    </row>
    <row r="29" spans="1:14" x14ac:dyDescent="0.3">
      <c r="A29" t="s">
        <v>115</v>
      </c>
      <c r="B29">
        <v>835</v>
      </c>
      <c r="C29" s="1">
        <f t="shared" si="7"/>
        <v>861</v>
      </c>
      <c r="D29">
        <v>26</v>
      </c>
      <c r="E29" s="4">
        <f t="shared" si="8"/>
        <v>3.0197444831591174</v>
      </c>
      <c r="F29" s="12">
        <v>784</v>
      </c>
      <c r="G29" s="10">
        <f t="shared" si="9"/>
        <v>106.50510204081633</v>
      </c>
    </row>
    <row r="30" spans="1:14" x14ac:dyDescent="0.3">
      <c r="A30" t="s">
        <v>116</v>
      </c>
      <c r="B30">
        <v>894</v>
      </c>
      <c r="C30" s="1">
        <f t="shared" si="7"/>
        <v>922</v>
      </c>
      <c r="D30">
        <v>28</v>
      </c>
      <c r="E30" s="4">
        <f t="shared" si="8"/>
        <v>3.0368763557483729</v>
      </c>
      <c r="F30" s="12">
        <v>784</v>
      </c>
      <c r="G30" s="10">
        <f>B30*(100/F30)</f>
        <v>114.03061224489797</v>
      </c>
    </row>
    <row r="31" spans="1:14" x14ac:dyDescent="0.3">
      <c r="A31" t="s">
        <v>117</v>
      </c>
      <c r="B31">
        <v>1408</v>
      </c>
      <c r="C31" s="1">
        <f t="shared" si="7"/>
        <v>1463</v>
      </c>
      <c r="D31">
        <v>55</v>
      </c>
      <c r="E31" s="4">
        <f t="shared" si="8"/>
        <v>3.7593984962406015</v>
      </c>
      <c r="F31" s="12">
        <v>784</v>
      </c>
      <c r="G31" s="10">
        <f>B31*(100/F31)</f>
        <v>179.59183673469389</v>
      </c>
    </row>
    <row r="32" spans="1:14" x14ac:dyDescent="0.3">
      <c r="A32" t="s">
        <v>118</v>
      </c>
      <c r="B32">
        <v>1152</v>
      </c>
      <c r="C32" s="1">
        <f t="shared" si="7"/>
        <v>1189</v>
      </c>
      <c r="D32">
        <v>37</v>
      </c>
      <c r="E32" s="4">
        <f t="shared" si="8"/>
        <v>3.1118587047939443</v>
      </c>
      <c r="F32" s="12">
        <v>784</v>
      </c>
      <c r="G32" s="10">
        <f>B32*(100/F32)</f>
        <v>146.9387755102041</v>
      </c>
    </row>
    <row r="33" spans="1:7" x14ac:dyDescent="0.3">
      <c r="B33" s="3"/>
      <c r="C33" s="3"/>
      <c r="D33" s="3"/>
      <c r="E33" s="3"/>
      <c r="F33" s="13"/>
    </row>
    <row r="34" spans="1:7" x14ac:dyDescent="0.3">
      <c r="A34" t="s">
        <v>119</v>
      </c>
      <c r="B34">
        <v>924</v>
      </c>
      <c r="C34" s="1">
        <f>B34+D34</f>
        <v>958</v>
      </c>
      <c r="D34">
        <v>34</v>
      </c>
      <c r="E34" s="4">
        <f>100*(D34/(C34))</f>
        <v>3.5490605427974948</v>
      </c>
      <c r="F34" s="12">
        <v>784</v>
      </c>
      <c r="G34" s="10">
        <f>B34*(100/F34)</f>
        <v>117.85714285714286</v>
      </c>
    </row>
    <row r="35" spans="1:7" x14ac:dyDescent="0.3">
      <c r="A35" t="s">
        <v>120</v>
      </c>
      <c r="B35">
        <v>472</v>
      </c>
      <c r="C35" s="1">
        <f t="shared" ref="C35:C42" si="10">B35+D35</f>
        <v>510</v>
      </c>
      <c r="D35">
        <v>38</v>
      </c>
      <c r="E35" s="4">
        <f t="shared" ref="E35:E42" si="11">100*(D35/(C35))</f>
        <v>7.4509803921568629</v>
      </c>
      <c r="F35" s="12">
        <v>784</v>
      </c>
      <c r="G35" s="10">
        <f t="shared" ref="G35:G42" si="12">B35*(100/F35)</f>
        <v>60.204081632653065</v>
      </c>
    </row>
    <row r="36" spans="1:7" x14ac:dyDescent="0.3">
      <c r="A36" t="s">
        <v>121</v>
      </c>
      <c r="B36">
        <v>465</v>
      </c>
      <c r="C36" s="1">
        <f t="shared" si="10"/>
        <v>513</v>
      </c>
      <c r="D36">
        <v>48</v>
      </c>
      <c r="E36" s="4">
        <f t="shared" si="11"/>
        <v>9.3567251461988299</v>
      </c>
      <c r="F36" s="12">
        <v>784</v>
      </c>
      <c r="G36" s="10">
        <f t="shared" si="12"/>
        <v>59.311224489795919</v>
      </c>
    </row>
    <row r="37" spans="1:7" x14ac:dyDescent="0.3">
      <c r="A37" t="s">
        <v>122</v>
      </c>
      <c r="B37">
        <v>377</v>
      </c>
      <c r="C37" s="1">
        <f t="shared" si="10"/>
        <v>408</v>
      </c>
      <c r="D37">
        <v>31</v>
      </c>
      <c r="E37" s="4">
        <f t="shared" si="11"/>
        <v>7.5980392156862742</v>
      </c>
      <c r="F37" s="12">
        <v>784</v>
      </c>
      <c r="G37" s="10">
        <f t="shared" si="12"/>
        <v>48.086734693877553</v>
      </c>
    </row>
    <row r="38" spans="1:7" x14ac:dyDescent="0.3">
      <c r="A38" t="s">
        <v>123</v>
      </c>
      <c r="B38">
        <v>686</v>
      </c>
      <c r="C38" s="1">
        <f t="shared" si="10"/>
        <v>725</v>
      </c>
      <c r="D38">
        <v>39</v>
      </c>
      <c r="E38" s="4">
        <f t="shared" si="11"/>
        <v>5.3793103448275863</v>
      </c>
      <c r="F38" s="12">
        <v>784</v>
      </c>
      <c r="G38" s="10">
        <f t="shared" si="12"/>
        <v>87.5</v>
      </c>
    </row>
    <row r="39" spans="1:7" x14ac:dyDescent="0.3">
      <c r="A39" t="s">
        <v>124</v>
      </c>
      <c r="B39">
        <v>781</v>
      </c>
      <c r="C39" s="1">
        <f t="shared" si="10"/>
        <v>826</v>
      </c>
      <c r="D39">
        <v>45</v>
      </c>
      <c r="E39" s="4">
        <f t="shared" si="11"/>
        <v>5.4479418886198543</v>
      </c>
      <c r="F39" s="12">
        <v>784</v>
      </c>
      <c r="G39" s="10">
        <f t="shared" si="12"/>
        <v>99.617346938775512</v>
      </c>
    </row>
    <row r="40" spans="1:7" x14ac:dyDescent="0.3">
      <c r="A40" t="s">
        <v>125</v>
      </c>
      <c r="B40">
        <v>917</v>
      </c>
      <c r="C40" s="1">
        <f t="shared" si="10"/>
        <v>960</v>
      </c>
      <c r="D40">
        <v>43</v>
      </c>
      <c r="E40" s="4">
        <f t="shared" si="11"/>
        <v>4.479166666666667</v>
      </c>
      <c r="F40" s="12">
        <v>784</v>
      </c>
      <c r="G40" s="10">
        <f t="shared" si="12"/>
        <v>116.96428571428572</v>
      </c>
    </row>
    <row r="41" spans="1:7" x14ac:dyDescent="0.3">
      <c r="A41" t="s">
        <v>126</v>
      </c>
      <c r="B41">
        <v>670</v>
      </c>
      <c r="C41" s="1">
        <f t="shared" si="10"/>
        <v>718</v>
      </c>
      <c r="D41">
        <v>48</v>
      </c>
      <c r="E41" s="4">
        <f t="shared" si="11"/>
        <v>6.6852367688022287</v>
      </c>
      <c r="F41" s="12">
        <v>784</v>
      </c>
      <c r="G41" s="10">
        <f t="shared" si="12"/>
        <v>85.459183673469383</v>
      </c>
    </row>
    <row r="42" spans="1:7" x14ac:dyDescent="0.3">
      <c r="A42" t="s">
        <v>127</v>
      </c>
      <c r="B42">
        <v>567</v>
      </c>
      <c r="C42" s="1">
        <f t="shared" si="10"/>
        <v>603</v>
      </c>
      <c r="D42">
        <v>36</v>
      </c>
      <c r="E42" s="4">
        <f t="shared" si="11"/>
        <v>5.9701492537313428</v>
      </c>
      <c r="F42" s="12">
        <v>784</v>
      </c>
      <c r="G42" s="10">
        <f t="shared" si="12"/>
        <v>72.321428571428569</v>
      </c>
    </row>
    <row r="43" spans="1:7" x14ac:dyDescent="0.3">
      <c r="A43" s="6"/>
      <c r="B43" s="5"/>
      <c r="D43" s="5"/>
      <c r="E43" s="5"/>
      <c r="F43" s="12"/>
      <c r="G43" s="10"/>
    </row>
    <row r="44" spans="1:7" x14ac:dyDescent="0.3">
      <c r="F44" s="14"/>
    </row>
    <row r="45" spans="1:7" x14ac:dyDescent="0.3">
      <c r="F45" s="13"/>
    </row>
    <row r="46" spans="1:7" x14ac:dyDescent="0.3">
      <c r="F46" s="12"/>
      <c r="G46" s="10"/>
    </row>
    <row r="47" spans="1:7" x14ac:dyDescent="0.3">
      <c r="F47" s="12"/>
      <c r="G47" s="10"/>
    </row>
    <row r="48" spans="1:7" x14ac:dyDescent="0.3">
      <c r="F48" s="12"/>
      <c r="G48" s="10"/>
    </row>
    <row r="49" spans="6:7" x14ac:dyDescent="0.3">
      <c r="F49" s="12"/>
      <c r="G49" s="10"/>
    </row>
    <row r="50" spans="6:7" x14ac:dyDescent="0.3">
      <c r="F50" s="12"/>
      <c r="G50" s="10"/>
    </row>
    <row r="51" spans="6:7" x14ac:dyDescent="0.3">
      <c r="F51" s="12"/>
      <c r="G51" s="10"/>
    </row>
    <row r="52" spans="6:7" x14ac:dyDescent="0.3">
      <c r="F52" s="12"/>
      <c r="G52" s="10"/>
    </row>
    <row r="53" spans="6:7" x14ac:dyDescent="0.3">
      <c r="F53" s="12"/>
      <c r="G53" s="10"/>
    </row>
    <row r="54" spans="6:7" x14ac:dyDescent="0.3">
      <c r="F54" s="12"/>
      <c r="G54" s="10"/>
    </row>
    <row r="55" spans="6:7" x14ac:dyDescent="0.3">
      <c r="F55" s="12"/>
      <c r="G55" s="10"/>
    </row>
    <row r="56" spans="6:7" x14ac:dyDescent="0.3">
      <c r="F56" s="14"/>
    </row>
    <row r="57" spans="6:7" x14ac:dyDescent="0.3">
      <c r="F57" s="13"/>
    </row>
    <row r="58" spans="6:7" x14ac:dyDescent="0.3">
      <c r="F58" s="12"/>
      <c r="G58" s="10"/>
    </row>
    <row r="59" spans="6:7" x14ac:dyDescent="0.3">
      <c r="F59" s="12"/>
      <c r="G59" s="10"/>
    </row>
    <row r="60" spans="6:7" x14ac:dyDescent="0.3">
      <c r="F60" s="12"/>
      <c r="G60" s="10"/>
    </row>
    <row r="61" spans="6:7" x14ac:dyDescent="0.3">
      <c r="F61" s="12"/>
      <c r="G61" s="10"/>
    </row>
    <row r="62" spans="6:7" x14ac:dyDescent="0.3">
      <c r="F62" s="12"/>
      <c r="G62" s="10"/>
    </row>
    <row r="63" spans="6:7" x14ac:dyDescent="0.3">
      <c r="F63" s="12"/>
      <c r="G63" s="10"/>
    </row>
    <row r="64" spans="6:7" x14ac:dyDescent="0.3">
      <c r="F64" s="12"/>
      <c r="G64" s="10"/>
    </row>
    <row r="65" spans="6:7" x14ac:dyDescent="0.3">
      <c r="F65" s="12"/>
      <c r="G65" s="10"/>
    </row>
    <row r="66" spans="6:7" x14ac:dyDescent="0.3">
      <c r="F66" s="12"/>
      <c r="G66" s="10"/>
    </row>
    <row r="67" spans="6:7" x14ac:dyDescent="0.3">
      <c r="F67" s="12"/>
      <c r="G67" s="10"/>
    </row>
    <row r="70" spans="6:7" x14ac:dyDescent="0.3">
      <c r="F70" s="3"/>
    </row>
    <row r="71" spans="6:7" x14ac:dyDescent="0.3">
      <c r="F71" s="4"/>
      <c r="G71" s="10"/>
    </row>
    <row r="72" spans="6:7" x14ac:dyDescent="0.3">
      <c r="F72" s="4"/>
      <c r="G72" s="10"/>
    </row>
    <row r="73" spans="6:7" x14ac:dyDescent="0.3">
      <c r="F73" s="4"/>
      <c r="G73" s="10"/>
    </row>
    <row r="74" spans="6:7" x14ac:dyDescent="0.3">
      <c r="F74" s="4"/>
      <c r="G74" s="10"/>
    </row>
    <row r="75" spans="6:7" x14ac:dyDescent="0.3">
      <c r="F75" s="4"/>
      <c r="G75" s="10"/>
    </row>
    <row r="76" spans="6:7" x14ac:dyDescent="0.3">
      <c r="F76" s="4"/>
      <c r="G76" s="10"/>
    </row>
    <row r="77" spans="6:7" x14ac:dyDescent="0.3">
      <c r="F77" s="4"/>
      <c r="G77" s="10"/>
    </row>
    <row r="78" spans="6:7" x14ac:dyDescent="0.3">
      <c r="F78" s="4"/>
      <c r="G78" s="10"/>
    </row>
    <row r="79" spans="6:7" x14ac:dyDescent="0.3">
      <c r="F79" s="4"/>
      <c r="G79" s="10"/>
    </row>
    <row r="80" spans="6:7" x14ac:dyDescent="0.3">
      <c r="F80" s="5"/>
      <c r="G80" s="11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C97EE-F7CE-431C-A84B-F5E03081DDFD}">
  <dimension ref="A1:O79"/>
  <sheetViews>
    <sheetView workbookViewId="0">
      <selection activeCell="A3" sqref="A3"/>
    </sheetView>
  </sheetViews>
  <sheetFormatPr defaultRowHeight="14.4" x14ac:dyDescent="0.3"/>
  <cols>
    <col min="1" max="1" width="24.88671875" customWidth="1"/>
    <col min="2" max="2" width="13.44140625" customWidth="1"/>
    <col min="3" max="3" width="11.88671875" customWidth="1"/>
    <col min="4" max="4" width="14.88671875" style="1" customWidth="1"/>
    <col min="5" max="5" width="9.88671875" customWidth="1"/>
    <col min="6" max="6" width="23.109375" customWidth="1"/>
    <col min="7" max="7" width="12" style="9" customWidth="1"/>
    <col min="9" max="9" width="104.109375" customWidth="1"/>
  </cols>
  <sheetData>
    <row r="1" spans="1:9" x14ac:dyDescent="0.3">
      <c r="A1" s="3" t="s">
        <v>0</v>
      </c>
      <c r="B1" s="7"/>
      <c r="C1" s="8"/>
      <c r="D1" s="8"/>
      <c r="E1" s="8"/>
      <c r="F1" s="8"/>
    </row>
    <row r="2" spans="1:9" x14ac:dyDescent="0.3">
      <c r="B2" s="2"/>
      <c r="C2" s="8"/>
      <c r="D2" s="8"/>
      <c r="E2" s="8"/>
      <c r="F2" s="8"/>
    </row>
    <row r="3" spans="1:9" x14ac:dyDescent="0.3">
      <c r="A3" s="21" t="s">
        <v>171</v>
      </c>
      <c r="B3" s="6" t="s">
        <v>149</v>
      </c>
      <c r="C3" s="6" t="s">
        <v>2</v>
      </c>
      <c r="D3" s="6" t="s">
        <v>150</v>
      </c>
      <c r="E3" s="8" t="s">
        <v>3</v>
      </c>
      <c r="F3" s="8" t="s">
        <v>92</v>
      </c>
      <c r="G3" s="8" t="s">
        <v>1</v>
      </c>
      <c r="I3" s="3" t="s">
        <v>161</v>
      </c>
    </row>
    <row r="4" spans="1:9" x14ac:dyDescent="0.3">
      <c r="A4" t="s">
        <v>60</v>
      </c>
      <c r="B4" s="9">
        <v>1033</v>
      </c>
      <c r="C4" s="1">
        <f>B4+D4</f>
        <v>1044</v>
      </c>
      <c r="D4" s="1">
        <v>11</v>
      </c>
      <c r="E4" s="4">
        <f>100*(D4/(C4))</f>
        <v>1.053639846743295</v>
      </c>
      <c r="F4" s="12">
        <v>1134.2</v>
      </c>
      <c r="G4" s="10">
        <f>B4*(100/F4)</f>
        <v>91.077411391289004</v>
      </c>
      <c r="H4" s="4"/>
      <c r="I4" s="15" t="s">
        <v>151</v>
      </c>
    </row>
    <row r="5" spans="1:9" x14ac:dyDescent="0.3">
      <c r="A5" t="s">
        <v>4</v>
      </c>
      <c r="B5" s="9">
        <v>1251</v>
      </c>
      <c r="C5" s="1">
        <f t="shared" ref="C5:C13" si="0">B5+D5</f>
        <v>1264</v>
      </c>
      <c r="D5" s="1">
        <v>13</v>
      </c>
      <c r="E5" s="4">
        <f t="shared" ref="E5:E13" si="1">100*(D5/(C5))</f>
        <v>1.0284810126582278</v>
      </c>
      <c r="F5" s="12">
        <v>1134.2</v>
      </c>
      <c r="G5" s="10">
        <f t="shared" ref="G5:G13" si="2">B5*(100/F5)</f>
        <v>110.29800740610121</v>
      </c>
      <c r="H5" s="4"/>
      <c r="I5" s="15" t="s">
        <v>152</v>
      </c>
    </row>
    <row r="6" spans="1:9" x14ac:dyDescent="0.3">
      <c r="A6" t="s">
        <v>5</v>
      </c>
      <c r="B6" s="9">
        <v>1178</v>
      </c>
      <c r="C6" s="1">
        <f t="shared" si="0"/>
        <v>1190</v>
      </c>
      <c r="D6" s="1">
        <v>12</v>
      </c>
      <c r="E6" s="4">
        <f t="shared" si="1"/>
        <v>1.0084033613445378</v>
      </c>
      <c r="F6" s="12">
        <v>1134.2</v>
      </c>
      <c r="G6" s="10">
        <f t="shared" si="2"/>
        <v>103.86175277728795</v>
      </c>
      <c r="H6" s="4"/>
      <c r="I6" s="15" t="s">
        <v>153</v>
      </c>
    </row>
    <row r="7" spans="1:9" x14ac:dyDescent="0.3">
      <c r="A7" t="s">
        <v>6</v>
      </c>
      <c r="B7" s="9">
        <v>1178</v>
      </c>
      <c r="C7" s="1">
        <f t="shared" si="0"/>
        <v>1189</v>
      </c>
      <c r="D7" s="1">
        <v>11</v>
      </c>
      <c r="E7" s="4">
        <f t="shared" si="1"/>
        <v>0.92514718250630779</v>
      </c>
      <c r="F7" s="12">
        <v>1134.2</v>
      </c>
      <c r="G7" s="10">
        <f t="shared" si="2"/>
        <v>103.86175277728795</v>
      </c>
      <c r="H7" s="4"/>
      <c r="I7" s="15" t="s">
        <v>154</v>
      </c>
    </row>
    <row r="8" spans="1:9" x14ac:dyDescent="0.3">
      <c r="A8" t="s">
        <v>7</v>
      </c>
      <c r="B8" s="9">
        <v>1032</v>
      </c>
      <c r="C8" s="1">
        <f t="shared" si="0"/>
        <v>1046</v>
      </c>
      <c r="D8" s="1">
        <v>14</v>
      </c>
      <c r="E8" s="4">
        <f t="shared" si="1"/>
        <v>1.338432122370937</v>
      </c>
      <c r="F8" s="12">
        <v>1134.2</v>
      </c>
      <c r="G8" s="10">
        <f t="shared" si="2"/>
        <v>90.989243519661429</v>
      </c>
      <c r="H8" s="4"/>
      <c r="I8" s="15" t="s">
        <v>155</v>
      </c>
    </row>
    <row r="9" spans="1:9" x14ac:dyDescent="0.3">
      <c r="A9" t="s">
        <v>8</v>
      </c>
      <c r="B9" s="9">
        <v>1117</v>
      </c>
      <c r="C9" s="1">
        <f t="shared" si="0"/>
        <v>1132</v>
      </c>
      <c r="D9" s="6">
        <v>15</v>
      </c>
      <c r="E9" s="4">
        <f t="shared" si="1"/>
        <v>1.3250883392226149</v>
      </c>
      <c r="F9" s="12">
        <v>1134.2</v>
      </c>
      <c r="G9" s="10">
        <f t="shared" si="2"/>
        <v>98.483512608005626</v>
      </c>
      <c r="H9" s="4"/>
      <c r="I9" s="15" t="s">
        <v>156</v>
      </c>
    </row>
    <row r="10" spans="1:9" x14ac:dyDescent="0.3">
      <c r="A10" t="s">
        <v>9</v>
      </c>
      <c r="B10" s="9">
        <v>1140</v>
      </c>
      <c r="C10" s="1">
        <f t="shared" si="0"/>
        <v>1151</v>
      </c>
      <c r="D10" s="1">
        <v>11</v>
      </c>
      <c r="E10" s="4">
        <f t="shared" si="1"/>
        <v>0.95569070373588194</v>
      </c>
      <c r="F10" s="12">
        <v>1134.2</v>
      </c>
      <c r="G10" s="10">
        <f t="shared" si="2"/>
        <v>100.51137365543994</v>
      </c>
      <c r="H10" s="4"/>
    </row>
    <row r="11" spans="1:9" x14ac:dyDescent="0.3">
      <c r="A11" t="s">
        <v>10</v>
      </c>
      <c r="B11" s="9">
        <v>1124</v>
      </c>
      <c r="C11" s="1">
        <f t="shared" si="0"/>
        <v>1132</v>
      </c>
      <c r="D11" s="1">
        <v>8</v>
      </c>
      <c r="E11" s="4">
        <f t="shared" si="1"/>
        <v>0.70671378091872794</v>
      </c>
      <c r="F11" s="12">
        <v>1134.2</v>
      </c>
      <c r="G11" s="10">
        <f t="shared" si="2"/>
        <v>99.100687709398684</v>
      </c>
      <c r="H11" s="4"/>
    </row>
    <row r="12" spans="1:9" x14ac:dyDescent="0.3">
      <c r="A12" t="s">
        <v>11</v>
      </c>
      <c r="B12" s="9">
        <v>1012</v>
      </c>
      <c r="C12" s="1">
        <f t="shared" si="0"/>
        <v>1026</v>
      </c>
      <c r="D12" s="1">
        <v>14</v>
      </c>
      <c r="E12" s="4">
        <f t="shared" si="1"/>
        <v>1.364522417153996</v>
      </c>
      <c r="F12" s="12">
        <v>1134.2</v>
      </c>
      <c r="G12" s="10">
        <f t="shared" si="2"/>
        <v>89.225886087109842</v>
      </c>
      <c r="H12" s="4"/>
    </row>
    <row r="13" spans="1:9" s="3" customFormat="1" x14ac:dyDescent="0.3">
      <c r="A13" t="s">
        <v>12</v>
      </c>
      <c r="B13" s="9">
        <v>1160</v>
      </c>
      <c r="C13" s="1">
        <f t="shared" si="0"/>
        <v>1168</v>
      </c>
      <c r="D13" s="4">
        <v>8</v>
      </c>
      <c r="E13" s="4">
        <f t="shared" si="1"/>
        <v>0.68493150684931503</v>
      </c>
      <c r="F13" s="12">
        <v>1134.2</v>
      </c>
      <c r="G13" s="10">
        <f t="shared" si="2"/>
        <v>102.27473108799153</v>
      </c>
      <c r="H13" s="5"/>
      <c r="I13"/>
    </row>
    <row r="14" spans="1:9" x14ac:dyDescent="0.3">
      <c r="B14" s="1"/>
      <c r="C14" s="5"/>
      <c r="E14" s="4"/>
      <c r="F14" s="12"/>
    </row>
    <row r="15" spans="1:9" x14ac:dyDescent="0.3">
      <c r="A15" t="s">
        <v>13</v>
      </c>
      <c r="B15" s="9">
        <v>818</v>
      </c>
      <c r="C15" s="1">
        <f>B15+D15</f>
        <v>828</v>
      </c>
      <c r="D15" s="1">
        <v>10</v>
      </c>
      <c r="E15" s="4">
        <f>100*(D15/(C15))</f>
        <v>1.2077294685990339</v>
      </c>
      <c r="F15" s="12">
        <v>1134.2</v>
      </c>
      <c r="G15" s="10">
        <f>B15*(100/F15)</f>
        <v>72.121318991359544</v>
      </c>
      <c r="H15" s="4"/>
    </row>
    <row r="16" spans="1:9" x14ac:dyDescent="0.3">
      <c r="A16" t="s">
        <v>14</v>
      </c>
      <c r="B16" s="9">
        <v>1018</v>
      </c>
      <c r="C16" s="1">
        <f t="shared" ref="C16:C24" si="3">B16+D16</f>
        <v>1034</v>
      </c>
      <c r="D16" s="1">
        <v>16</v>
      </c>
      <c r="E16" s="4">
        <f t="shared" ref="E16:E24" si="4">100*(D16/(C16))</f>
        <v>1.5473887814313347</v>
      </c>
      <c r="F16" s="12">
        <v>1134.2</v>
      </c>
      <c r="G16" s="10">
        <f t="shared" ref="G16:G24" si="5">B16*(100/F16)</f>
        <v>89.754893316875325</v>
      </c>
      <c r="H16" s="4"/>
    </row>
    <row r="17" spans="1:15" x14ac:dyDescent="0.3">
      <c r="A17" t="s">
        <v>15</v>
      </c>
      <c r="B17" s="9">
        <v>963</v>
      </c>
      <c r="C17" s="1">
        <f t="shared" si="3"/>
        <v>976</v>
      </c>
      <c r="D17" s="1">
        <v>13</v>
      </c>
      <c r="E17" s="4">
        <f t="shared" si="4"/>
        <v>1.331967213114754</v>
      </c>
      <c r="F17" s="12">
        <v>1134.2</v>
      </c>
      <c r="G17" s="10">
        <f t="shared" si="5"/>
        <v>84.905660377358487</v>
      </c>
      <c r="H17" s="4"/>
    </row>
    <row r="18" spans="1:15" x14ac:dyDescent="0.3">
      <c r="A18" t="s">
        <v>16</v>
      </c>
      <c r="B18" s="9">
        <v>922</v>
      </c>
      <c r="C18" s="1">
        <f t="shared" si="3"/>
        <v>942</v>
      </c>
      <c r="D18" s="1">
        <v>20</v>
      </c>
      <c r="E18" s="4">
        <f t="shared" si="4"/>
        <v>2.1231422505307855</v>
      </c>
      <c r="F18" s="12">
        <v>1134.2</v>
      </c>
      <c r="G18" s="10">
        <f t="shared" si="5"/>
        <v>81.290777640627752</v>
      </c>
      <c r="H18" s="4"/>
    </row>
    <row r="19" spans="1:15" x14ac:dyDescent="0.3">
      <c r="A19" t="s">
        <v>17</v>
      </c>
      <c r="B19" s="9">
        <v>869</v>
      </c>
      <c r="C19" s="1">
        <f t="shared" si="3"/>
        <v>890</v>
      </c>
      <c r="D19" s="6">
        <v>21</v>
      </c>
      <c r="E19" s="4">
        <f t="shared" si="4"/>
        <v>2.3595505617977528</v>
      </c>
      <c r="F19" s="12">
        <v>1134.2</v>
      </c>
      <c r="G19" s="10">
        <f t="shared" si="5"/>
        <v>76.617880444366065</v>
      </c>
      <c r="H19" s="4"/>
    </row>
    <row r="20" spans="1:15" x14ac:dyDescent="0.3">
      <c r="A20" t="s">
        <v>18</v>
      </c>
      <c r="B20" s="9">
        <v>1001</v>
      </c>
      <c r="C20" s="1">
        <f t="shared" si="3"/>
        <v>1008</v>
      </c>
      <c r="D20" s="1">
        <v>7</v>
      </c>
      <c r="E20" s="4">
        <f t="shared" si="4"/>
        <v>0.69444444444444442</v>
      </c>
      <c r="F20" s="12">
        <v>1134.2</v>
      </c>
      <c r="G20" s="10">
        <f t="shared" si="5"/>
        <v>88.25603949920648</v>
      </c>
      <c r="H20" s="4"/>
    </row>
    <row r="21" spans="1:15" x14ac:dyDescent="0.3">
      <c r="A21" t="s">
        <v>19</v>
      </c>
      <c r="B21" s="9">
        <v>1255</v>
      </c>
      <c r="C21" s="1">
        <f t="shared" si="3"/>
        <v>1268</v>
      </c>
      <c r="D21" s="1">
        <v>13</v>
      </c>
      <c r="E21" s="4">
        <f t="shared" si="4"/>
        <v>1.025236593059937</v>
      </c>
      <c r="F21" s="12">
        <v>1134.2</v>
      </c>
      <c r="G21" s="10">
        <f t="shared" si="5"/>
        <v>110.65067889261152</v>
      </c>
      <c r="H21" s="4"/>
    </row>
    <row r="22" spans="1:15" x14ac:dyDescent="0.3">
      <c r="A22" t="s">
        <v>20</v>
      </c>
      <c r="B22" s="9">
        <v>1002</v>
      </c>
      <c r="C22" s="1">
        <f t="shared" si="3"/>
        <v>1012</v>
      </c>
      <c r="D22" s="1">
        <v>10</v>
      </c>
      <c r="E22" s="4">
        <f t="shared" si="4"/>
        <v>0.98814229249011865</v>
      </c>
      <c r="F22" s="12">
        <v>1134.2</v>
      </c>
      <c r="G22" s="10">
        <f t="shared" si="5"/>
        <v>88.344207370834056</v>
      </c>
      <c r="H22" s="4"/>
    </row>
    <row r="23" spans="1:15" x14ac:dyDescent="0.3">
      <c r="A23" t="s">
        <v>21</v>
      </c>
      <c r="B23" s="9">
        <v>1057</v>
      </c>
      <c r="C23" s="1">
        <f t="shared" si="3"/>
        <v>1068</v>
      </c>
      <c r="D23" s="1">
        <v>11</v>
      </c>
      <c r="E23" s="4">
        <f t="shared" si="4"/>
        <v>1.0299625468164793</v>
      </c>
      <c r="F23" s="12">
        <v>1134.2</v>
      </c>
      <c r="G23" s="10">
        <f t="shared" si="5"/>
        <v>93.193440310350894</v>
      </c>
      <c r="H23" s="4"/>
    </row>
    <row r="24" spans="1:15" x14ac:dyDescent="0.3">
      <c r="A24" t="s">
        <v>22</v>
      </c>
      <c r="B24" s="9">
        <v>961</v>
      </c>
      <c r="C24" s="1">
        <f t="shared" si="3"/>
        <v>979</v>
      </c>
      <c r="D24" s="4">
        <v>18</v>
      </c>
      <c r="E24" s="4">
        <f t="shared" si="4"/>
        <v>1.8386108273748722</v>
      </c>
      <c r="F24" s="12">
        <v>1134.2</v>
      </c>
      <c r="G24" s="10">
        <f t="shared" si="5"/>
        <v>84.729324634103321</v>
      </c>
      <c r="H24" s="5"/>
    </row>
    <row r="25" spans="1:15" x14ac:dyDescent="0.3">
      <c r="B25" s="1"/>
      <c r="C25" s="1"/>
      <c r="F25" s="14"/>
    </row>
    <row r="26" spans="1:15" x14ac:dyDescent="0.3">
      <c r="A26" t="s">
        <v>23</v>
      </c>
      <c r="B26" s="9">
        <v>1421</v>
      </c>
      <c r="C26" s="1">
        <f>B26+D26</f>
        <v>1464</v>
      </c>
      <c r="D26" s="1">
        <v>43</v>
      </c>
      <c r="E26" s="4">
        <f>100*(D26/(C26))</f>
        <v>2.9371584699453552</v>
      </c>
      <c r="F26" s="12">
        <v>1134.2</v>
      </c>
      <c r="G26" s="10">
        <f>B26*(100/F26)</f>
        <v>125.28654558278961</v>
      </c>
      <c r="H26" s="4"/>
    </row>
    <row r="27" spans="1:15" x14ac:dyDescent="0.3">
      <c r="A27" t="s">
        <v>24</v>
      </c>
      <c r="B27" s="9">
        <v>911</v>
      </c>
      <c r="C27" s="1">
        <f t="shared" ref="C27:C35" si="6">B27+D27</f>
        <v>985</v>
      </c>
      <c r="D27" s="6">
        <v>74</v>
      </c>
      <c r="E27" s="4">
        <f t="shared" ref="E27:E35" si="7">100*(D27/(C27))</f>
        <v>7.5126903553299496</v>
      </c>
      <c r="F27" s="12">
        <v>1134.2</v>
      </c>
      <c r="G27" s="10">
        <f t="shared" ref="G27:G35" si="8">B27*(100/F27)</f>
        <v>80.320931052724376</v>
      </c>
      <c r="H27" s="4"/>
    </row>
    <row r="28" spans="1:15" x14ac:dyDescent="0.3">
      <c r="A28" t="s">
        <v>25</v>
      </c>
      <c r="B28" s="9">
        <v>902</v>
      </c>
      <c r="C28" s="1">
        <f t="shared" si="6"/>
        <v>932</v>
      </c>
      <c r="D28" s="1">
        <v>30</v>
      </c>
      <c r="E28" s="4">
        <f t="shared" si="7"/>
        <v>3.2188841201716736</v>
      </c>
      <c r="F28" s="12">
        <v>1134.2</v>
      </c>
      <c r="G28" s="10">
        <f t="shared" si="8"/>
        <v>79.527420208076165</v>
      </c>
      <c r="H28" s="4"/>
      <c r="J28" s="6"/>
      <c r="K28" s="5"/>
      <c r="M28" s="5"/>
      <c r="N28" s="3"/>
      <c r="O28" s="5"/>
    </row>
    <row r="29" spans="1:15" x14ac:dyDescent="0.3">
      <c r="A29" t="s">
        <v>26</v>
      </c>
      <c r="B29" s="9">
        <v>1064</v>
      </c>
      <c r="C29" s="1">
        <f t="shared" si="6"/>
        <v>1092</v>
      </c>
      <c r="D29" s="1">
        <v>28</v>
      </c>
      <c r="E29" s="4">
        <f t="shared" si="7"/>
        <v>2.5641025641025639</v>
      </c>
      <c r="F29" s="12">
        <v>1134.2</v>
      </c>
      <c r="G29" s="10">
        <f t="shared" si="8"/>
        <v>93.810615411743953</v>
      </c>
      <c r="H29" s="4"/>
    </row>
    <row r="30" spans="1:15" x14ac:dyDescent="0.3">
      <c r="A30" t="s">
        <v>27</v>
      </c>
      <c r="B30" s="9">
        <v>1064</v>
      </c>
      <c r="C30" s="1">
        <f t="shared" si="6"/>
        <v>1091</v>
      </c>
      <c r="D30" s="1">
        <v>27</v>
      </c>
      <c r="E30" s="4">
        <f t="shared" si="7"/>
        <v>2.474793767186068</v>
      </c>
      <c r="F30" s="12">
        <v>1134.2</v>
      </c>
      <c r="G30" s="10">
        <f t="shared" si="8"/>
        <v>93.810615411743953</v>
      </c>
      <c r="H30" s="4"/>
    </row>
    <row r="31" spans="1:15" x14ac:dyDescent="0.3">
      <c r="A31" t="s">
        <v>28</v>
      </c>
      <c r="B31" s="9">
        <v>1393</v>
      </c>
      <c r="C31" s="1">
        <f t="shared" si="6"/>
        <v>1431</v>
      </c>
      <c r="D31" s="1">
        <v>38</v>
      </c>
      <c r="E31" s="4">
        <f t="shared" si="7"/>
        <v>2.6554856743535988</v>
      </c>
      <c r="F31" s="12">
        <v>1134.2</v>
      </c>
      <c r="G31" s="10">
        <f t="shared" si="8"/>
        <v>122.81784517721741</v>
      </c>
      <c r="H31" s="4"/>
    </row>
    <row r="32" spans="1:15" x14ac:dyDescent="0.3">
      <c r="A32" t="s">
        <v>29</v>
      </c>
      <c r="B32" s="9">
        <v>969</v>
      </c>
      <c r="C32" s="1">
        <f t="shared" si="6"/>
        <v>991</v>
      </c>
      <c r="D32" s="1">
        <v>22</v>
      </c>
      <c r="E32" s="4">
        <f t="shared" si="7"/>
        <v>2.2199798183652879</v>
      </c>
      <c r="F32" s="12">
        <v>1134.2</v>
      </c>
      <c r="G32" s="10">
        <f t="shared" si="8"/>
        <v>85.434667607123956</v>
      </c>
      <c r="H32" s="4"/>
    </row>
    <row r="33" spans="1:8" x14ac:dyDescent="0.3">
      <c r="A33" t="s">
        <v>30</v>
      </c>
      <c r="B33" s="9">
        <v>817</v>
      </c>
      <c r="C33" s="1">
        <f t="shared" si="6"/>
        <v>847</v>
      </c>
      <c r="D33" s="1">
        <v>30</v>
      </c>
      <c r="E33" s="4">
        <f t="shared" si="7"/>
        <v>3.5419126328217239</v>
      </c>
      <c r="F33" s="12">
        <v>1134.2</v>
      </c>
      <c r="G33" s="10">
        <f t="shared" si="8"/>
        <v>72.033151119731968</v>
      </c>
      <c r="H33" s="4"/>
    </row>
    <row r="34" spans="1:8" x14ac:dyDescent="0.3">
      <c r="A34" t="s">
        <v>31</v>
      </c>
      <c r="B34" s="9">
        <v>947</v>
      </c>
      <c r="C34" s="1">
        <f t="shared" si="6"/>
        <v>979</v>
      </c>
      <c r="D34" s="1">
        <v>32</v>
      </c>
      <c r="E34" s="4">
        <f t="shared" si="7"/>
        <v>3.268641470888662</v>
      </c>
      <c r="F34" s="12">
        <v>1134.2</v>
      </c>
      <c r="G34" s="10">
        <f t="shared" si="8"/>
        <v>83.494974431317218</v>
      </c>
      <c r="H34" s="4"/>
    </row>
    <row r="35" spans="1:8" x14ac:dyDescent="0.3">
      <c r="A35" t="s">
        <v>32</v>
      </c>
      <c r="B35" s="9">
        <v>1094</v>
      </c>
      <c r="C35" s="1">
        <f t="shared" si="6"/>
        <v>1146</v>
      </c>
      <c r="D35" s="4">
        <v>52</v>
      </c>
      <c r="E35" s="4">
        <f t="shared" si="7"/>
        <v>4.5375218150087253</v>
      </c>
      <c r="F35" s="12">
        <v>1134.2</v>
      </c>
      <c r="G35" s="10">
        <f t="shared" si="8"/>
        <v>96.455651560571312</v>
      </c>
      <c r="H35" s="5"/>
    </row>
    <row r="36" spans="1:8" x14ac:dyDescent="0.3">
      <c r="C36" s="1"/>
      <c r="E36" s="4"/>
      <c r="F36" s="12"/>
    </row>
    <row r="37" spans="1:8" x14ac:dyDescent="0.3">
      <c r="A37" t="s">
        <v>33</v>
      </c>
      <c r="B37" s="9">
        <v>58</v>
      </c>
      <c r="C37" s="1">
        <f>B37+D37</f>
        <v>78</v>
      </c>
      <c r="D37" s="1">
        <v>20</v>
      </c>
      <c r="E37" s="4">
        <f>100*(D37/(C37))</f>
        <v>25.641025641025639</v>
      </c>
      <c r="F37" s="12">
        <v>1134.2</v>
      </c>
      <c r="G37" s="10">
        <f>B37*(100/F37)</f>
        <v>5.1137365543995763</v>
      </c>
      <c r="H37" s="4"/>
    </row>
    <row r="38" spans="1:8" x14ac:dyDescent="0.3">
      <c r="A38" t="s">
        <v>34</v>
      </c>
      <c r="B38" s="9">
        <v>45</v>
      </c>
      <c r="C38" s="1">
        <f t="shared" ref="C38:C45" si="9">B38+D38</f>
        <v>59</v>
      </c>
      <c r="D38" s="1">
        <v>14</v>
      </c>
      <c r="E38" s="4">
        <f t="shared" ref="E38:E45" si="10">100*(D38/(C38))</f>
        <v>23.728813559322035</v>
      </c>
      <c r="F38" s="12">
        <v>1134.2</v>
      </c>
      <c r="G38" s="10">
        <f t="shared" ref="G38:G45" si="11">B38*(100/F38)</f>
        <v>3.9675542232410503</v>
      </c>
      <c r="H38" s="4"/>
    </row>
    <row r="39" spans="1:8" x14ac:dyDescent="0.3">
      <c r="A39" t="s">
        <v>35</v>
      </c>
      <c r="B39" s="9">
        <v>86</v>
      </c>
      <c r="C39" s="1">
        <f t="shared" si="9"/>
        <v>107</v>
      </c>
      <c r="D39" s="1">
        <v>21</v>
      </c>
      <c r="E39" s="4">
        <f t="shared" si="10"/>
        <v>19.626168224299064</v>
      </c>
      <c r="F39" s="12">
        <v>1134.2</v>
      </c>
      <c r="G39" s="10">
        <f t="shared" si="11"/>
        <v>7.5824369599717851</v>
      </c>
      <c r="H39" s="4"/>
    </row>
    <row r="40" spans="1:8" x14ac:dyDescent="0.3">
      <c r="A40" t="s">
        <v>36</v>
      </c>
      <c r="B40" s="9">
        <v>70</v>
      </c>
      <c r="C40" s="1">
        <f t="shared" si="9"/>
        <v>82</v>
      </c>
      <c r="D40" s="1">
        <v>12</v>
      </c>
      <c r="E40" s="4">
        <f t="shared" si="10"/>
        <v>14.634146341463413</v>
      </c>
      <c r="F40" s="12">
        <v>1134.2</v>
      </c>
      <c r="G40" s="10">
        <f t="shared" si="11"/>
        <v>6.1717510139305229</v>
      </c>
      <c r="H40" s="4"/>
    </row>
    <row r="41" spans="1:8" x14ac:dyDescent="0.3">
      <c r="A41" t="s">
        <v>37</v>
      </c>
      <c r="B41" s="9">
        <v>65</v>
      </c>
      <c r="C41" s="1">
        <f t="shared" si="9"/>
        <v>75</v>
      </c>
      <c r="D41" s="1">
        <v>10</v>
      </c>
      <c r="E41" s="4">
        <f t="shared" si="10"/>
        <v>13.333333333333334</v>
      </c>
      <c r="F41" s="12">
        <v>1134.2</v>
      </c>
      <c r="G41" s="10">
        <f t="shared" si="11"/>
        <v>5.730911655792629</v>
      </c>
      <c r="H41" s="4"/>
    </row>
    <row r="42" spans="1:8" x14ac:dyDescent="0.3">
      <c r="A42" t="s">
        <v>38</v>
      </c>
      <c r="B42" s="9">
        <v>64</v>
      </c>
      <c r="C42" s="1">
        <f t="shared" si="9"/>
        <v>81</v>
      </c>
      <c r="D42" s="1">
        <v>17</v>
      </c>
      <c r="E42" s="4">
        <f t="shared" si="10"/>
        <v>20.987654320987652</v>
      </c>
      <c r="F42" s="12">
        <v>1134.2</v>
      </c>
      <c r="G42" s="10">
        <f t="shared" si="11"/>
        <v>5.6427437841650496</v>
      </c>
      <c r="H42" s="4"/>
    </row>
    <row r="43" spans="1:8" x14ac:dyDescent="0.3">
      <c r="A43" t="s">
        <v>39</v>
      </c>
      <c r="B43" s="9">
        <v>69</v>
      </c>
      <c r="C43" s="1">
        <f t="shared" si="9"/>
        <v>91</v>
      </c>
      <c r="D43" s="1">
        <v>22</v>
      </c>
      <c r="E43" s="4">
        <f t="shared" si="10"/>
        <v>24.175824175824175</v>
      </c>
      <c r="F43" s="12">
        <v>1134.2</v>
      </c>
      <c r="G43" s="10">
        <f t="shared" si="11"/>
        <v>6.0835831423029445</v>
      </c>
      <c r="H43" s="4"/>
    </row>
    <row r="44" spans="1:8" x14ac:dyDescent="0.3">
      <c r="A44" t="s">
        <v>40</v>
      </c>
      <c r="B44" s="9">
        <v>67</v>
      </c>
      <c r="C44" s="1">
        <f t="shared" si="9"/>
        <v>85</v>
      </c>
      <c r="D44" s="1">
        <v>18</v>
      </c>
      <c r="E44" s="4">
        <f t="shared" si="10"/>
        <v>21.176470588235293</v>
      </c>
      <c r="F44" s="12">
        <v>1134.2</v>
      </c>
      <c r="G44" s="10">
        <f t="shared" si="11"/>
        <v>5.9072473990477867</v>
      </c>
      <c r="H44" s="4"/>
    </row>
    <row r="45" spans="1:8" x14ac:dyDescent="0.3">
      <c r="A45" t="s">
        <v>41</v>
      </c>
      <c r="B45" s="9">
        <v>59</v>
      </c>
      <c r="C45" s="1">
        <f t="shared" si="9"/>
        <v>74</v>
      </c>
      <c r="D45" s="1">
        <v>15</v>
      </c>
      <c r="E45" s="4">
        <f t="shared" si="10"/>
        <v>20.27027027027027</v>
      </c>
      <c r="F45" s="12">
        <v>1134.2</v>
      </c>
      <c r="G45" s="10">
        <f t="shared" si="11"/>
        <v>5.2019044260271547</v>
      </c>
      <c r="H45" s="4"/>
    </row>
    <row r="46" spans="1:8" x14ac:dyDescent="0.3">
      <c r="F46" s="12"/>
    </row>
    <row r="47" spans="1:8" x14ac:dyDescent="0.3">
      <c r="A47" t="s">
        <v>42</v>
      </c>
      <c r="B47" s="9">
        <v>1005</v>
      </c>
      <c r="C47" s="1">
        <f>B47+D47</f>
        <v>1050</v>
      </c>
      <c r="D47" s="1">
        <v>45</v>
      </c>
      <c r="E47" s="4">
        <f>100*(D47/(C47))</f>
        <v>4.2857142857142856</v>
      </c>
      <c r="F47" s="12">
        <v>1134.2</v>
      </c>
      <c r="G47" s="10">
        <f>B47*(100/F47)</f>
        <v>88.608710985716797</v>
      </c>
      <c r="H47" s="4"/>
    </row>
    <row r="48" spans="1:8" x14ac:dyDescent="0.3">
      <c r="A48" t="s">
        <v>43</v>
      </c>
      <c r="B48" s="9">
        <v>1065</v>
      </c>
      <c r="C48" s="1">
        <f t="shared" ref="C48:C55" si="12">B48+D48</f>
        <v>1105</v>
      </c>
      <c r="D48" s="1">
        <v>40</v>
      </c>
      <c r="E48" s="4">
        <f t="shared" ref="E48:E55" si="13">100*(D48/(C48))</f>
        <v>3.6199095022624439</v>
      </c>
      <c r="F48" s="12">
        <v>1134.2</v>
      </c>
      <c r="G48" s="10">
        <f t="shared" ref="G48:G55" si="14">B48*(100/F48)</f>
        <v>93.898783283371529</v>
      </c>
      <c r="H48" s="4"/>
    </row>
    <row r="49" spans="1:8" x14ac:dyDescent="0.3">
      <c r="A49" t="s">
        <v>44</v>
      </c>
      <c r="B49" s="9">
        <v>1189</v>
      </c>
      <c r="C49" s="1">
        <f t="shared" si="12"/>
        <v>1230</v>
      </c>
      <c r="D49" s="1">
        <v>41</v>
      </c>
      <c r="E49" s="4">
        <f t="shared" si="13"/>
        <v>3.3333333333333335</v>
      </c>
      <c r="F49" s="12">
        <v>1134.2</v>
      </c>
      <c r="G49" s="10">
        <f t="shared" si="14"/>
        <v>104.83159936519131</v>
      </c>
      <c r="H49" s="4"/>
    </row>
    <row r="50" spans="1:8" x14ac:dyDescent="0.3">
      <c r="A50" t="s">
        <v>45</v>
      </c>
      <c r="B50" s="9">
        <v>1421</v>
      </c>
      <c r="C50" s="1">
        <f t="shared" si="12"/>
        <v>1443</v>
      </c>
      <c r="D50" s="1">
        <v>22</v>
      </c>
      <c r="E50" s="4">
        <f t="shared" si="13"/>
        <v>1.5246015246015245</v>
      </c>
      <c r="F50" s="12">
        <v>1134.2</v>
      </c>
      <c r="G50" s="10">
        <f t="shared" si="14"/>
        <v>125.28654558278961</v>
      </c>
      <c r="H50" s="4"/>
    </row>
    <row r="51" spans="1:8" x14ac:dyDescent="0.3">
      <c r="A51" t="s">
        <v>46</v>
      </c>
      <c r="B51" s="9">
        <v>932</v>
      </c>
      <c r="C51" s="1">
        <f t="shared" si="12"/>
        <v>996</v>
      </c>
      <c r="D51" s="1">
        <v>64</v>
      </c>
      <c r="E51" s="4">
        <f t="shared" si="13"/>
        <v>6.425702811244979</v>
      </c>
      <c r="F51" s="12">
        <v>1134.2</v>
      </c>
      <c r="G51" s="10">
        <f t="shared" si="14"/>
        <v>82.172456356903538</v>
      </c>
      <c r="H51" s="4"/>
    </row>
    <row r="52" spans="1:8" x14ac:dyDescent="0.3">
      <c r="A52" t="s">
        <v>47</v>
      </c>
      <c r="B52" s="9">
        <v>1199</v>
      </c>
      <c r="C52" s="1">
        <f t="shared" si="12"/>
        <v>1240</v>
      </c>
      <c r="D52" s="1">
        <v>41</v>
      </c>
      <c r="E52" s="4">
        <f t="shared" si="13"/>
        <v>3.306451612903226</v>
      </c>
      <c r="F52" s="12">
        <v>1134.2</v>
      </c>
      <c r="G52" s="10">
        <f t="shared" si="14"/>
        <v>105.7132780814671</v>
      </c>
      <c r="H52" s="4"/>
    </row>
    <row r="53" spans="1:8" x14ac:dyDescent="0.3">
      <c r="A53" t="s">
        <v>48</v>
      </c>
      <c r="B53" s="9">
        <v>818</v>
      </c>
      <c r="C53" s="1">
        <f t="shared" si="12"/>
        <v>860</v>
      </c>
      <c r="D53" s="1">
        <v>42</v>
      </c>
      <c r="E53" s="4">
        <f t="shared" si="13"/>
        <v>4.8837209302325579</v>
      </c>
      <c r="F53" s="12">
        <v>1134.2</v>
      </c>
      <c r="G53" s="10">
        <f t="shared" si="14"/>
        <v>72.121318991359544</v>
      </c>
      <c r="H53" s="4"/>
    </row>
    <row r="54" spans="1:8" x14ac:dyDescent="0.3">
      <c r="A54" t="s">
        <v>49</v>
      </c>
      <c r="B54" s="9">
        <v>844</v>
      </c>
      <c r="C54" s="1">
        <f t="shared" si="12"/>
        <v>902</v>
      </c>
      <c r="D54" s="1">
        <v>58</v>
      </c>
      <c r="E54" s="4">
        <f t="shared" si="13"/>
        <v>6.4301552106430151</v>
      </c>
      <c r="F54" s="12">
        <v>1134.2</v>
      </c>
      <c r="G54" s="10">
        <f t="shared" si="14"/>
        <v>74.413683653676586</v>
      </c>
      <c r="H54" s="4"/>
    </row>
    <row r="55" spans="1:8" x14ac:dyDescent="0.3">
      <c r="A55" t="s">
        <v>50</v>
      </c>
      <c r="B55" s="9">
        <v>1268</v>
      </c>
      <c r="C55" s="1">
        <f t="shared" si="12"/>
        <v>1324</v>
      </c>
      <c r="D55" s="1">
        <v>56</v>
      </c>
      <c r="E55" s="4">
        <f t="shared" si="13"/>
        <v>4.2296072507552873</v>
      </c>
      <c r="F55" s="12">
        <v>1134.2</v>
      </c>
      <c r="G55" s="10">
        <f t="shared" si="14"/>
        <v>111.79686122377005</v>
      </c>
      <c r="H55" s="4"/>
    </row>
    <row r="56" spans="1:8" x14ac:dyDescent="0.3">
      <c r="A56" s="6"/>
      <c r="B56" s="5"/>
      <c r="D56" s="5"/>
      <c r="E56" s="5"/>
      <c r="F56" s="12"/>
      <c r="G56" s="10"/>
      <c r="H56" s="5"/>
    </row>
    <row r="57" spans="1:8" x14ac:dyDescent="0.3">
      <c r="A57" t="s">
        <v>51</v>
      </c>
      <c r="B57" s="9">
        <v>370</v>
      </c>
      <c r="C57" s="1">
        <f>B57+D57</f>
        <v>452</v>
      </c>
      <c r="D57" s="1">
        <v>82</v>
      </c>
      <c r="E57" s="4">
        <f>100*(D57/(C57))</f>
        <v>18.141592920353983</v>
      </c>
      <c r="F57" s="12">
        <v>1134.2</v>
      </c>
      <c r="G57" s="10">
        <f>B57*(100/F57)</f>
        <v>32.622112502204196</v>
      </c>
      <c r="H57" s="4"/>
    </row>
    <row r="58" spans="1:8" x14ac:dyDescent="0.3">
      <c r="A58" t="s">
        <v>52</v>
      </c>
      <c r="B58" s="9">
        <v>344</v>
      </c>
      <c r="C58" s="1">
        <f t="shared" ref="C58:C65" si="15">B58+D58</f>
        <v>396</v>
      </c>
      <c r="D58" s="1">
        <v>52</v>
      </c>
      <c r="E58" s="4">
        <f t="shared" ref="E58:E65" si="16">100*(D58/(C58))</f>
        <v>13.131313131313133</v>
      </c>
      <c r="F58" s="12">
        <v>1134.2</v>
      </c>
      <c r="G58" s="10">
        <f t="shared" ref="G58:G65" si="17">B58*(100/F58)</f>
        <v>30.329747839887141</v>
      </c>
      <c r="H58" s="4"/>
    </row>
    <row r="59" spans="1:8" x14ac:dyDescent="0.3">
      <c r="A59" t="s">
        <v>53</v>
      </c>
      <c r="B59" s="9">
        <v>468</v>
      </c>
      <c r="C59" s="1">
        <f t="shared" si="15"/>
        <v>603</v>
      </c>
      <c r="D59" s="1">
        <v>135</v>
      </c>
      <c r="E59" s="4">
        <f t="shared" si="16"/>
        <v>22.388059701492537</v>
      </c>
      <c r="F59" s="12">
        <v>1134.2</v>
      </c>
      <c r="G59" s="10">
        <f t="shared" si="17"/>
        <v>41.262563921706928</v>
      </c>
      <c r="H59" s="4"/>
    </row>
    <row r="60" spans="1:8" x14ac:dyDescent="0.3">
      <c r="A60" t="s">
        <v>54</v>
      </c>
      <c r="B60" s="9">
        <v>311</v>
      </c>
      <c r="C60" s="1">
        <f t="shared" si="15"/>
        <v>431</v>
      </c>
      <c r="D60" s="1">
        <v>120</v>
      </c>
      <c r="E60" s="4">
        <f t="shared" si="16"/>
        <v>27.842227378190255</v>
      </c>
      <c r="F60" s="12">
        <v>1134.2</v>
      </c>
      <c r="G60" s="10">
        <f t="shared" si="17"/>
        <v>27.420208076177037</v>
      </c>
      <c r="H60" s="4"/>
    </row>
    <row r="61" spans="1:8" x14ac:dyDescent="0.3">
      <c r="A61" t="s">
        <v>55</v>
      </c>
      <c r="B61" s="9">
        <v>406</v>
      </c>
      <c r="C61" s="1">
        <f t="shared" si="15"/>
        <v>521</v>
      </c>
      <c r="D61" s="1">
        <v>115</v>
      </c>
      <c r="E61" s="4">
        <f t="shared" si="16"/>
        <v>22.072936660268713</v>
      </c>
      <c r="F61" s="12">
        <v>1134.2</v>
      </c>
      <c r="G61" s="10">
        <f t="shared" si="17"/>
        <v>35.796155880797031</v>
      </c>
      <c r="H61" s="4"/>
    </row>
    <row r="62" spans="1:8" x14ac:dyDescent="0.3">
      <c r="A62" t="s">
        <v>56</v>
      </c>
      <c r="B62" s="9">
        <v>366</v>
      </c>
      <c r="C62" s="1">
        <f t="shared" si="15"/>
        <v>476</v>
      </c>
      <c r="D62" s="1">
        <v>110</v>
      </c>
      <c r="E62" s="4">
        <f t="shared" si="16"/>
        <v>23.109243697478991</v>
      </c>
      <c r="F62" s="12">
        <v>1134.2</v>
      </c>
      <c r="G62" s="10">
        <f t="shared" si="17"/>
        <v>32.269441015693879</v>
      </c>
      <c r="H62" s="4"/>
    </row>
    <row r="63" spans="1:8" x14ac:dyDescent="0.3">
      <c r="A63" t="s">
        <v>57</v>
      </c>
      <c r="B63" s="9">
        <v>425</v>
      </c>
      <c r="C63" s="1">
        <f t="shared" si="15"/>
        <v>547</v>
      </c>
      <c r="D63" s="1">
        <v>122</v>
      </c>
      <c r="E63" s="4">
        <f t="shared" si="16"/>
        <v>22.30347349177331</v>
      </c>
      <c r="F63" s="12">
        <v>1134.2</v>
      </c>
      <c r="G63" s="10">
        <f t="shared" si="17"/>
        <v>37.471345441721034</v>
      </c>
      <c r="H63" s="4"/>
    </row>
    <row r="64" spans="1:8" x14ac:dyDescent="0.3">
      <c r="A64" t="s">
        <v>58</v>
      </c>
      <c r="B64" s="9">
        <v>334</v>
      </c>
      <c r="C64" s="1">
        <f t="shared" si="15"/>
        <v>436</v>
      </c>
      <c r="D64" s="1">
        <v>102</v>
      </c>
      <c r="E64" s="4">
        <f t="shared" si="16"/>
        <v>23.394495412844037</v>
      </c>
      <c r="F64" s="12">
        <v>1134.2</v>
      </c>
      <c r="G64" s="10">
        <f t="shared" si="17"/>
        <v>29.448069123611354</v>
      </c>
      <c r="H64" s="4"/>
    </row>
    <row r="65" spans="1:8" x14ac:dyDescent="0.3">
      <c r="A65" t="s">
        <v>59</v>
      </c>
      <c r="B65" s="9">
        <v>419</v>
      </c>
      <c r="C65" s="1">
        <f t="shared" si="15"/>
        <v>537</v>
      </c>
      <c r="D65" s="1">
        <v>118</v>
      </c>
      <c r="E65" s="4">
        <f t="shared" si="16"/>
        <v>21.973929236499067</v>
      </c>
      <c r="F65" s="12">
        <v>1134.2</v>
      </c>
      <c r="G65" s="10">
        <f t="shared" si="17"/>
        <v>36.942338211955558</v>
      </c>
      <c r="H65" s="4"/>
    </row>
    <row r="66" spans="1:8" x14ac:dyDescent="0.3">
      <c r="A66" s="6"/>
      <c r="B66" s="5"/>
      <c r="D66" s="5"/>
      <c r="E66" s="5"/>
      <c r="F66" s="12"/>
      <c r="G66" s="10"/>
      <c r="H66" s="5"/>
    </row>
    <row r="69" spans="1:8" x14ac:dyDescent="0.3">
      <c r="B69" s="3"/>
      <c r="C69" s="3"/>
      <c r="D69" s="6"/>
      <c r="E69" s="3"/>
      <c r="F69" s="3"/>
    </row>
    <row r="70" spans="1:8" x14ac:dyDescent="0.3">
      <c r="C70" s="1"/>
      <c r="E70" s="4"/>
      <c r="F70" s="4"/>
      <c r="G70" s="10"/>
      <c r="H70" s="4"/>
    </row>
    <row r="71" spans="1:8" x14ac:dyDescent="0.3">
      <c r="C71" s="1"/>
      <c r="E71" s="4"/>
      <c r="F71" s="4"/>
      <c r="G71" s="10"/>
      <c r="H71" s="4"/>
    </row>
    <row r="72" spans="1:8" x14ac:dyDescent="0.3">
      <c r="C72" s="1"/>
      <c r="E72" s="4"/>
      <c r="F72" s="4"/>
      <c r="G72" s="10"/>
      <c r="H72" s="4"/>
    </row>
    <row r="73" spans="1:8" x14ac:dyDescent="0.3">
      <c r="C73" s="1"/>
      <c r="E73" s="4"/>
      <c r="F73" s="4"/>
      <c r="G73" s="10"/>
      <c r="H73" s="4"/>
    </row>
    <row r="74" spans="1:8" x14ac:dyDescent="0.3">
      <c r="C74" s="1"/>
      <c r="E74" s="4"/>
      <c r="F74" s="4"/>
      <c r="G74" s="10"/>
      <c r="H74" s="4"/>
    </row>
    <row r="75" spans="1:8" x14ac:dyDescent="0.3">
      <c r="C75" s="1"/>
      <c r="E75" s="4"/>
      <c r="F75" s="4"/>
      <c r="G75" s="10"/>
      <c r="H75" s="4"/>
    </row>
    <row r="76" spans="1:8" x14ac:dyDescent="0.3">
      <c r="C76" s="1"/>
      <c r="E76" s="4"/>
      <c r="F76" s="4"/>
      <c r="G76" s="10"/>
      <c r="H76" s="4"/>
    </row>
    <row r="77" spans="1:8" x14ac:dyDescent="0.3">
      <c r="C77" s="1"/>
      <c r="E77" s="4"/>
      <c r="F77" s="4"/>
      <c r="G77" s="10"/>
      <c r="H77" s="4"/>
    </row>
    <row r="78" spans="1:8" x14ac:dyDescent="0.3">
      <c r="C78" s="1"/>
      <c r="E78" s="4"/>
      <c r="F78" s="4"/>
      <c r="G78" s="10"/>
      <c r="H78" s="4"/>
    </row>
    <row r="79" spans="1:8" x14ac:dyDescent="0.3">
      <c r="A79" s="6"/>
      <c r="B79" s="5"/>
      <c r="D79" s="5"/>
      <c r="E79" s="5"/>
      <c r="F79" s="5"/>
      <c r="G79" s="11"/>
      <c r="H79" s="5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EB17A-C898-40A7-A015-9A7BD52839DD}">
  <dimension ref="A1:O76"/>
  <sheetViews>
    <sheetView workbookViewId="0">
      <selection activeCell="A3" sqref="A3"/>
    </sheetView>
  </sheetViews>
  <sheetFormatPr defaultRowHeight="14.4" x14ac:dyDescent="0.3"/>
  <cols>
    <col min="1" max="1" width="33.33203125" customWidth="1"/>
    <col min="2" max="2" width="15" style="1" customWidth="1"/>
    <col min="3" max="3" width="11.88671875" style="1" customWidth="1"/>
    <col min="4" max="4" width="14.88671875" style="1" customWidth="1"/>
    <col min="5" max="5" width="12" style="1" customWidth="1"/>
    <col min="6" max="6" width="23.44140625" style="1" customWidth="1"/>
    <col min="7" max="7" width="13" style="9" customWidth="1"/>
    <col min="9" max="9" width="54.44140625" customWidth="1"/>
  </cols>
  <sheetData>
    <row r="1" spans="1:9" x14ac:dyDescent="0.3">
      <c r="A1" s="3" t="s">
        <v>0</v>
      </c>
      <c r="B1" s="18"/>
      <c r="C1" s="8"/>
      <c r="D1" s="8"/>
      <c r="E1" s="8"/>
      <c r="F1" s="8"/>
    </row>
    <row r="2" spans="1:9" x14ac:dyDescent="0.3">
      <c r="B2" s="19"/>
      <c r="C2" s="8"/>
      <c r="D2" s="8"/>
      <c r="E2" s="8"/>
      <c r="F2" s="8"/>
    </row>
    <row r="3" spans="1:9" x14ac:dyDescent="0.3">
      <c r="A3" s="21" t="s">
        <v>171</v>
      </c>
      <c r="B3" s="6" t="s">
        <v>149</v>
      </c>
      <c r="C3" s="6" t="s">
        <v>2</v>
      </c>
      <c r="D3" s="6" t="s">
        <v>150</v>
      </c>
      <c r="E3" s="8" t="s">
        <v>3</v>
      </c>
      <c r="F3" s="8" t="s">
        <v>92</v>
      </c>
      <c r="G3" s="8" t="s">
        <v>1</v>
      </c>
    </row>
    <row r="4" spans="1:9" x14ac:dyDescent="0.3">
      <c r="A4" t="s">
        <v>169</v>
      </c>
      <c r="B4" s="1">
        <v>511</v>
      </c>
      <c r="C4" s="1">
        <f>B4+D4</f>
        <v>563</v>
      </c>
      <c r="D4" s="1">
        <v>52</v>
      </c>
      <c r="E4" s="4">
        <f>100*(D4/(C4))</f>
        <v>9.2362344582593252</v>
      </c>
      <c r="F4" s="1">
        <v>547.75</v>
      </c>
      <c r="G4" s="10">
        <f>B4*(100/F4)</f>
        <v>93.290734824281145</v>
      </c>
      <c r="H4" s="4"/>
      <c r="I4" s="3" t="s">
        <v>161</v>
      </c>
    </row>
    <row r="5" spans="1:9" x14ac:dyDescent="0.3">
      <c r="A5" t="s">
        <v>61</v>
      </c>
      <c r="B5" s="1">
        <v>546</v>
      </c>
      <c r="C5" s="1">
        <f>B5+D5</f>
        <v>564</v>
      </c>
      <c r="D5" s="1">
        <v>18</v>
      </c>
      <c r="E5" s="4">
        <f t="shared" ref="E5:E11" si="0">100*(D5/(C5))</f>
        <v>3.1914893617021276</v>
      </c>
      <c r="F5" s="1">
        <v>547.75</v>
      </c>
      <c r="G5" s="10">
        <f t="shared" ref="G5:G11" si="1">B5*(100/F5)</f>
        <v>99.680511182108631</v>
      </c>
      <c r="H5" s="4"/>
      <c r="I5" s="17" t="s">
        <v>162</v>
      </c>
    </row>
    <row r="6" spans="1:9" x14ac:dyDescent="0.3">
      <c r="A6" t="s">
        <v>62</v>
      </c>
      <c r="B6" s="1">
        <v>483</v>
      </c>
      <c r="C6" s="1">
        <f t="shared" ref="C6:C11" si="2">B6+D6</f>
        <v>532</v>
      </c>
      <c r="D6" s="1">
        <v>49</v>
      </c>
      <c r="E6" s="4">
        <f t="shared" si="0"/>
        <v>9.2105263157894726</v>
      </c>
      <c r="F6" s="1">
        <v>547.75</v>
      </c>
      <c r="G6" s="10">
        <f t="shared" si="1"/>
        <v>88.178913738019176</v>
      </c>
      <c r="H6" s="4"/>
      <c r="I6" s="17" t="s">
        <v>163</v>
      </c>
    </row>
    <row r="7" spans="1:9" x14ac:dyDescent="0.3">
      <c r="A7" t="s">
        <v>63</v>
      </c>
      <c r="B7" s="1">
        <v>448</v>
      </c>
      <c r="C7" s="1">
        <f t="shared" si="2"/>
        <v>464</v>
      </c>
      <c r="D7" s="1">
        <v>16</v>
      </c>
      <c r="E7" s="4">
        <f t="shared" si="0"/>
        <v>3.4482758620689653</v>
      </c>
      <c r="F7" s="1">
        <v>547.75</v>
      </c>
      <c r="G7" s="10">
        <f t="shared" si="1"/>
        <v>81.78913738019169</v>
      </c>
      <c r="H7" s="4"/>
      <c r="I7" s="17" t="s">
        <v>164</v>
      </c>
    </row>
    <row r="8" spans="1:9" x14ac:dyDescent="0.3">
      <c r="A8" t="s">
        <v>64</v>
      </c>
      <c r="B8" s="1">
        <v>565</v>
      </c>
      <c r="C8" s="1">
        <f t="shared" si="2"/>
        <v>605</v>
      </c>
      <c r="D8" s="1">
        <v>40</v>
      </c>
      <c r="E8" s="4">
        <f t="shared" si="0"/>
        <v>6.6115702479338845</v>
      </c>
      <c r="F8" s="1">
        <v>547.75</v>
      </c>
      <c r="G8" s="10">
        <f t="shared" si="1"/>
        <v>103.14924691921497</v>
      </c>
      <c r="H8" s="4"/>
      <c r="I8" s="17" t="s">
        <v>165</v>
      </c>
    </row>
    <row r="9" spans="1:9" x14ac:dyDescent="0.3">
      <c r="A9" t="s">
        <v>65</v>
      </c>
      <c r="B9" s="1">
        <v>508</v>
      </c>
      <c r="C9" s="1">
        <f t="shared" si="2"/>
        <v>546</v>
      </c>
      <c r="D9" s="6">
        <v>38</v>
      </c>
      <c r="E9" s="4">
        <f t="shared" si="0"/>
        <v>6.9597069597069599</v>
      </c>
      <c r="F9" s="1">
        <v>547.75</v>
      </c>
      <c r="G9" s="10">
        <f t="shared" si="1"/>
        <v>92.743039707895932</v>
      </c>
      <c r="H9" s="4"/>
    </row>
    <row r="10" spans="1:9" x14ac:dyDescent="0.3">
      <c r="A10" t="s">
        <v>66</v>
      </c>
      <c r="B10" s="1">
        <v>509</v>
      </c>
      <c r="C10" s="1">
        <f t="shared" si="2"/>
        <v>552</v>
      </c>
      <c r="D10" s="1">
        <v>43</v>
      </c>
      <c r="E10" s="4">
        <f t="shared" si="0"/>
        <v>7.7898550724637676</v>
      </c>
      <c r="F10" s="1">
        <v>547.75</v>
      </c>
      <c r="G10" s="10">
        <f t="shared" si="1"/>
        <v>92.925604746691008</v>
      </c>
      <c r="H10" s="4"/>
    </row>
    <row r="11" spans="1:9" x14ac:dyDescent="0.3">
      <c r="A11" t="s">
        <v>67</v>
      </c>
      <c r="B11" s="1">
        <v>532</v>
      </c>
      <c r="C11" s="1">
        <f t="shared" si="2"/>
        <v>556</v>
      </c>
      <c r="D11" s="1">
        <v>24</v>
      </c>
      <c r="E11" s="4">
        <f t="shared" si="0"/>
        <v>4.3165467625899279</v>
      </c>
      <c r="F11" s="1">
        <v>547.75</v>
      </c>
      <c r="G11" s="10">
        <f t="shared" si="1"/>
        <v>97.12460063897764</v>
      </c>
      <c r="H11" s="4"/>
    </row>
    <row r="12" spans="1:9" x14ac:dyDescent="0.3">
      <c r="C12" s="5"/>
      <c r="E12" s="4"/>
      <c r="F12" s="4"/>
    </row>
    <row r="13" spans="1:9" x14ac:dyDescent="0.3">
      <c r="A13" t="s">
        <v>68</v>
      </c>
      <c r="B13" s="1">
        <v>524</v>
      </c>
      <c r="C13" s="1">
        <f>B13+D13</f>
        <v>557</v>
      </c>
      <c r="D13" s="1">
        <v>33</v>
      </c>
      <c r="E13" s="4">
        <f>100*(D13/(C13))</f>
        <v>5.9245960502693</v>
      </c>
      <c r="F13" s="1">
        <v>547.75</v>
      </c>
      <c r="G13" s="10">
        <f t="shared" ref="G13:G20" si="3">B13*(100/F13)</f>
        <v>95.664080328617075</v>
      </c>
      <c r="H13" s="4"/>
    </row>
    <row r="14" spans="1:9" x14ac:dyDescent="0.3">
      <c r="A14" t="s">
        <v>69</v>
      </c>
      <c r="B14" s="1">
        <v>273</v>
      </c>
      <c r="C14" s="1">
        <f t="shared" ref="C14:C20" si="4">B14+D14</f>
        <v>329</v>
      </c>
      <c r="D14" s="1">
        <v>56</v>
      </c>
      <c r="E14" s="4">
        <f t="shared" ref="E14:E20" si="5">100*(D14/(C14))</f>
        <v>17.021276595744681</v>
      </c>
      <c r="F14" s="1">
        <v>547.75</v>
      </c>
      <c r="G14" s="10">
        <f t="shared" si="3"/>
        <v>49.840255591054316</v>
      </c>
      <c r="H14" s="4"/>
    </row>
    <row r="15" spans="1:9" x14ac:dyDescent="0.3">
      <c r="A15" t="s">
        <v>70</v>
      </c>
      <c r="B15" s="1">
        <v>600</v>
      </c>
      <c r="C15" s="1">
        <f t="shared" si="4"/>
        <v>638</v>
      </c>
      <c r="D15" s="1">
        <v>38</v>
      </c>
      <c r="E15" s="4">
        <f t="shared" si="5"/>
        <v>5.9561128526645764</v>
      </c>
      <c r="F15" s="1">
        <v>547.75</v>
      </c>
      <c r="G15" s="10">
        <f t="shared" si="3"/>
        <v>109.53902327704245</v>
      </c>
      <c r="H15" s="4"/>
    </row>
    <row r="16" spans="1:9" x14ac:dyDescent="0.3">
      <c r="A16" t="s">
        <v>71</v>
      </c>
      <c r="B16" s="1">
        <v>531</v>
      </c>
      <c r="C16" s="1">
        <f t="shared" si="4"/>
        <v>582</v>
      </c>
      <c r="D16" s="1">
        <v>51</v>
      </c>
      <c r="E16" s="4">
        <f t="shared" si="5"/>
        <v>8.7628865979381434</v>
      </c>
      <c r="F16" s="1">
        <v>547.75</v>
      </c>
      <c r="G16" s="10">
        <f t="shared" si="3"/>
        <v>96.942035600182564</v>
      </c>
      <c r="H16" s="4"/>
    </row>
    <row r="17" spans="1:15" x14ac:dyDescent="0.3">
      <c r="A17" t="s">
        <v>72</v>
      </c>
      <c r="B17" s="1">
        <v>616</v>
      </c>
      <c r="C17" s="1">
        <f t="shared" si="4"/>
        <v>673</v>
      </c>
      <c r="D17" s="6">
        <v>57</v>
      </c>
      <c r="E17" s="4">
        <f t="shared" si="5"/>
        <v>8.4695393759286777</v>
      </c>
      <c r="F17" s="1">
        <v>547.75</v>
      </c>
      <c r="G17" s="10">
        <f t="shared" si="3"/>
        <v>112.46006389776358</v>
      </c>
      <c r="H17" s="4"/>
    </row>
    <row r="18" spans="1:15" x14ac:dyDescent="0.3">
      <c r="A18" t="s">
        <v>73</v>
      </c>
      <c r="B18" s="1">
        <v>538</v>
      </c>
      <c r="C18" s="1">
        <f t="shared" si="4"/>
        <v>604</v>
      </c>
      <c r="D18" s="1">
        <v>66</v>
      </c>
      <c r="E18" s="4">
        <f t="shared" si="5"/>
        <v>10.927152317880795</v>
      </c>
      <c r="F18" s="1">
        <v>547.75</v>
      </c>
      <c r="G18" s="10">
        <f t="shared" si="3"/>
        <v>98.219990871748067</v>
      </c>
      <c r="H18" s="4"/>
    </row>
    <row r="19" spans="1:15" x14ac:dyDescent="0.3">
      <c r="A19" t="s">
        <v>74</v>
      </c>
      <c r="B19" s="1">
        <v>373</v>
      </c>
      <c r="C19" s="1">
        <f t="shared" si="4"/>
        <v>405</v>
      </c>
      <c r="D19" s="1">
        <v>32</v>
      </c>
      <c r="E19" s="4">
        <f t="shared" si="5"/>
        <v>7.9012345679012341</v>
      </c>
      <c r="F19" s="1">
        <v>547.75</v>
      </c>
      <c r="G19" s="10">
        <f t="shared" si="3"/>
        <v>68.096759470561381</v>
      </c>
      <c r="H19" s="4"/>
    </row>
    <row r="20" spans="1:15" x14ac:dyDescent="0.3">
      <c r="A20" t="s">
        <v>75</v>
      </c>
      <c r="B20" s="1">
        <v>528</v>
      </c>
      <c r="C20" s="1">
        <f t="shared" si="4"/>
        <v>592</v>
      </c>
      <c r="D20" s="1">
        <v>64</v>
      </c>
      <c r="E20" s="4">
        <f t="shared" si="5"/>
        <v>10.810810810810811</v>
      </c>
      <c r="F20" s="1">
        <v>547.75</v>
      </c>
      <c r="G20" s="10">
        <f t="shared" si="3"/>
        <v>96.39434048379735</v>
      </c>
      <c r="H20" s="4"/>
    </row>
    <row r="22" spans="1:15" x14ac:dyDescent="0.3">
      <c r="A22" t="s">
        <v>76</v>
      </c>
      <c r="B22" s="1">
        <v>602</v>
      </c>
      <c r="C22" s="1">
        <f>B22+D22</f>
        <v>634</v>
      </c>
      <c r="D22" s="1">
        <v>32</v>
      </c>
      <c r="E22" s="4">
        <f>100*(D22/(C22))</f>
        <v>5.0473186119873814</v>
      </c>
      <c r="F22" s="1">
        <v>547.75</v>
      </c>
      <c r="G22" s="10">
        <f>B22*(100/F22)</f>
        <v>109.90415335463258</v>
      </c>
      <c r="H22" s="4"/>
    </row>
    <row r="23" spans="1:15" x14ac:dyDescent="0.3">
      <c r="A23" t="s">
        <v>77</v>
      </c>
      <c r="B23" s="1">
        <v>541</v>
      </c>
      <c r="C23" s="1">
        <f t="shared" ref="C23:C29" si="6">B23+D23</f>
        <v>601</v>
      </c>
      <c r="D23" s="6">
        <v>60</v>
      </c>
      <c r="E23" s="4">
        <f t="shared" ref="E23:E29" si="7">100*(D23/(C23))</f>
        <v>9.9833610648918469</v>
      </c>
      <c r="F23" s="1">
        <v>547.75</v>
      </c>
      <c r="G23" s="10">
        <f t="shared" ref="G23:G29" si="8">B23*(100/F23)</f>
        <v>98.767685988133266</v>
      </c>
      <c r="H23" s="4"/>
    </row>
    <row r="24" spans="1:15" x14ac:dyDescent="0.3">
      <c r="A24" t="s">
        <v>78</v>
      </c>
      <c r="B24" s="1">
        <v>496</v>
      </c>
      <c r="C24" s="1">
        <f t="shared" si="6"/>
        <v>552</v>
      </c>
      <c r="D24" s="1">
        <v>56</v>
      </c>
      <c r="E24" s="4">
        <f t="shared" si="7"/>
        <v>10.144927536231885</v>
      </c>
      <c r="F24" s="1">
        <v>547.75</v>
      </c>
      <c r="G24" s="10">
        <f t="shared" si="8"/>
        <v>90.552259242355092</v>
      </c>
      <c r="H24" s="4"/>
      <c r="J24" s="6"/>
      <c r="K24" s="5"/>
      <c r="M24" s="5"/>
      <c r="N24" s="3"/>
      <c r="O24" s="5"/>
    </row>
    <row r="25" spans="1:15" x14ac:dyDescent="0.3">
      <c r="A25" t="s">
        <v>79</v>
      </c>
      <c r="B25" s="1">
        <v>556</v>
      </c>
      <c r="C25" s="1">
        <f t="shared" si="6"/>
        <v>598</v>
      </c>
      <c r="D25" s="1">
        <v>42</v>
      </c>
      <c r="E25" s="4">
        <f t="shared" si="7"/>
        <v>7.023411371237458</v>
      </c>
      <c r="F25" s="1">
        <v>547.75</v>
      </c>
      <c r="G25" s="10">
        <f t="shared" si="8"/>
        <v>101.50616157005933</v>
      </c>
      <c r="H25" s="4"/>
    </row>
    <row r="26" spans="1:15" x14ac:dyDescent="0.3">
      <c r="A26" t="s">
        <v>80</v>
      </c>
      <c r="B26" s="1">
        <v>593</v>
      </c>
      <c r="C26" s="1">
        <f t="shared" si="6"/>
        <v>642</v>
      </c>
      <c r="D26" s="1">
        <v>49</v>
      </c>
      <c r="E26" s="4">
        <f t="shared" si="7"/>
        <v>7.6323987538940807</v>
      </c>
      <c r="F26" s="1">
        <v>547.75</v>
      </c>
      <c r="G26" s="10">
        <f t="shared" si="8"/>
        <v>108.26106800547696</v>
      </c>
      <c r="H26" s="4"/>
    </row>
    <row r="27" spans="1:15" x14ac:dyDescent="0.3">
      <c r="A27" t="s">
        <v>81</v>
      </c>
      <c r="B27" s="1">
        <v>496</v>
      </c>
      <c r="C27" s="1">
        <f t="shared" si="6"/>
        <v>559</v>
      </c>
      <c r="D27" s="1">
        <v>63</v>
      </c>
      <c r="E27" s="4">
        <f t="shared" si="7"/>
        <v>11.270125223613595</v>
      </c>
      <c r="F27" s="1">
        <v>547.75</v>
      </c>
      <c r="G27" s="10">
        <f t="shared" si="8"/>
        <v>90.552259242355092</v>
      </c>
      <c r="H27" s="4"/>
    </row>
    <row r="28" spans="1:15" x14ac:dyDescent="0.3">
      <c r="A28" t="s">
        <v>82</v>
      </c>
      <c r="B28" s="1">
        <v>440</v>
      </c>
      <c r="C28" s="1">
        <f t="shared" si="6"/>
        <v>477</v>
      </c>
      <c r="D28" s="1">
        <v>37</v>
      </c>
      <c r="E28" s="4">
        <f t="shared" si="7"/>
        <v>7.7568134171907763</v>
      </c>
      <c r="F28" s="1">
        <v>547.75</v>
      </c>
      <c r="G28" s="10">
        <f t="shared" si="8"/>
        <v>80.328617069831125</v>
      </c>
      <c r="H28" s="4"/>
    </row>
    <row r="29" spans="1:15" x14ac:dyDescent="0.3">
      <c r="A29" t="s">
        <v>83</v>
      </c>
      <c r="B29" s="1">
        <v>531</v>
      </c>
      <c r="C29" s="1">
        <f t="shared" si="6"/>
        <v>560</v>
      </c>
      <c r="D29" s="1">
        <v>29</v>
      </c>
      <c r="E29" s="4">
        <f t="shared" si="7"/>
        <v>5.1785714285714288</v>
      </c>
      <c r="F29" s="1">
        <v>547.75</v>
      </c>
      <c r="G29" s="10">
        <f t="shared" si="8"/>
        <v>96.942035600182564</v>
      </c>
      <c r="H29" s="4"/>
    </row>
    <row r="30" spans="1:15" x14ac:dyDescent="0.3">
      <c r="E30" s="4"/>
      <c r="F30" s="4"/>
    </row>
    <row r="31" spans="1:15" x14ac:dyDescent="0.3">
      <c r="A31" t="s">
        <v>84</v>
      </c>
      <c r="B31" s="1">
        <v>23</v>
      </c>
      <c r="C31" s="1">
        <f>B31+D31</f>
        <v>25</v>
      </c>
      <c r="D31" s="1">
        <v>2</v>
      </c>
      <c r="E31" s="4">
        <f>100*(D31/(C31))</f>
        <v>8</v>
      </c>
      <c r="F31" s="1">
        <v>547.75</v>
      </c>
      <c r="G31" s="10">
        <f>B31*(100/F31)</f>
        <v>4.1989958922866268</v>
      </c>
      <c r="H31" s="4"/>
    </row>
    <row r="32" spans="1:15" x14ac:dyDescent="0.3">
      <c r="A32" t="s">
        <v>85</v>
      </c>
      <c r="B32" s="1">
        <v>17</v>
      </c>
      <c r="C32" s="1">
        <f t="shared" ref="C32:C38" si="9">B32+D32</f>
        <v>20</v>
      </c>
      <c r="D32" s="1">
        <v>3</v>
      </c>
      <c r="E32" s="4">
        <f t="shared" ref="E32:E38" si="10">100*(D32/(C32))</f>
        <v>15</v>
      </c>
      <c r="F32" s="1">
        <v>547.75</v>
      </c>
      <c r="G32" s="10">
        <f t="shared" ref="G32:G38" si="11">B32*(100/F32)</f>
        <v>3.1036056595162025</v>
      </c>
      <c r="H32" s="4"/>
    </row>
    <row r="33" spans="1:8" x14ac:dyDescent="0.3">
      <c r="A33" t="s">
        <v>86</v>
      </c>
      <c r="B33" s="1">
        <v>42</v>
      </c>
      <c r="C33" s="1">
        <f t="shared" si="9"/>
        <v>48</v>
      </c>
      <c r="D33" s="1">
        <v>6</v>
      </c>
      <c r="E33" s="4">
        <f t="shared" si="10"/>
        <v>12.5</v>
      </c>
      <c r="F33" s="1">
        <v>547.75</v>
      </c>
      <c r="G33" s="10">
        <f t="shared" si="11"/>
        <v>7.6677316293929714</v>
      </c>
      <c r="H33" s="4"/>
    </row>
    <row r="34" spans="1:8" x14ac:dyDescent="0.3">
      <c r="A34" t="s">
        <v>87</v>
      </c>
      <c r="B34" s="1">
        <v>12</v>
      </c>
      <c r="C34" s="1">
        <f t="shared" si="9"/>
        <v>15</v>
      </c>
      <c r="D34" s="1">
        <v>3</v>
      </c>
      <c r="E34" s="4">
        <f t="shared" si="10"/>
        <v>20</v>
      </c>
      <c r="F34" s="1">
        <v>547.75</v>
      </c>
      <c r="G34" s="10">
        <f t="shared" si="11"/>
        <v>2.1907804655408487</v>
      </c>
      <c r="H34" s="4"/>
    </row>
    <row r="35" spans="1:8" x14ac:dyDescent="0.3">
      <c r="A35" t="s">
        <v>88</v>
      </c>
      <c r="B35" s="1">
        <v>28</v>
      </c>
      <c r="C35" s="1">
        <f t="shared" si="9"/>
        <v>39</v>
      </c>
      <c r="D35" s="1">
        <v>11</v>
      </c>
      <c r="E35" s="4">
        <f t="shared" si="10"/>
        <v>28.205128205128204</v>
      </c>
      <c r="F35" s="1">
        <v>547.75</v>
      </c>
      <c r="G35" s="10">
        <f t="shared" si="11"/>
        <v>5.1118210862619806</v>
      </c>
      <c r="H35" s="4"/>
    </row>
    <row r="36" spans="1:8" x14ac:dyDescent="0.3">
      <c r="A36" t="s">
        <v>89</v>
      </c>
      <c r="B36" s="1">
        <v>19</v>
      </c>
      <c r="C36" s="1">
        <f t="shared" si="9"/>
        <v>25</v>
      </c>
      <c r="D36" s="1">
        <v>6</v>
      </c>
      <c r="E36" s="4">
        <f t="shared" si="10"/>
        <v>24</v>
      </c>
      <c r="F36" s="1">
        <v>547.75</v>
      </c>
      <c r="G36" s="10">
        <f t="shared" si="11"/>
        <v>3.4687357371063441</v>
      </c>
      <c r="H36" s="4"/>
    </row>
    <row r="37" spans="1:8" x14ac:dyDescent="0.3">
      <c r="A37" t="s">
        <v>90</v>
      </c>
      <c r="B37" s="1">
        <v>7</v>
      </c>
      <c r="C37" s="1">
        <f t="shared" si="9"/>
        <v>14</v>
      </c>
      <c r="D37" s="1">
        <v>7</v>
      </c>
      <c r="E37" s="4">
        <f t="shared" si="10"/>
        <v>50</v>
      </c>
      <c r="F37" s="1">
        <v>547.75</v>
      </c>
      <c r="G37" s="10">
        <f t="shared" si="11"/>
        <v>1.2779552715654952</v>
      </c>
      <c r="H37" s="4"/>
    </row>
    <row r="38" spans="1:8" x14ac:dyDescent="0.3">
      <c r="A38" t="s">
        <v>91</v>
      </c>
      <c r="B38" s="1">
        <v>16</v>
      </c>
      <c r="C38" s="1">
        <f t="shared" si="9"/>
        <v>23</v>
      </c>
      <c r="D38" s="1">
        <v>7</v>
      </c>
      <c r="E38" s="4">
        <f t="shared" si="10"/>
        <v>30.434782608695656</v>
      </c>
      <c r="F38" s="1">
        <v>547.75</v>
      </c>
      <c r="G38" s="10">
        <f t="shared" si="11"/>
        <v>2.9210406207211319</v>
      </c>
      <c r="H38" s="4"/>
    </row>
    <row r="39" spans="1:8" x14ac:dyDescent="0.3">
      <c r="A39" s="6"/>
      <c r="B39" s="5"/>
      <c r="D39" s="5"/>
      <c r="E39" s="5"/>
      <c r="F39" s="9"/>
      <c r="G39" s="10"/>
      <c r="H39" s="5"/>
    </row>
    <row r="41" spans="1:8" x14ac:dyDescent="0.3">
      <c r="B41" s="6"/>
      <c r="C41" s="6"/>
      <c r="D41" s="6"/>
      <c r="E41" s="6"/>
      <c r="F41" s="6"/>
    </row>
    <row r="42" spans="1:8" x14ac:dyDescent="0.3">
      <c r="B42" s="9"/>
      <c r="E42" s="4"/>
      <c r="F42" s="9"/>
      <c r="G42" s="10"/>
      <c r="H42" s="4"/>
    </row>
    <row r="43" spans="1:8" x14ac:dyDescent="0.3">
      <c r="B43" s="9"/>
      <c r="E43" s="4"/>
      <c r="F43" s="9"/>
      <c r="G43" s="10"/>
      <c r="H43" s="4"/>
    </row>
    <row r="44" spans="1:8" x14ac:dyDescent="0.3">
      <c r="B44" s="9"/>
      <c r="E44" s="4"/>
      <c r="F44" s="9"/>
      <c r="G44" s="10"/>
      <c r="H44" s="4"/>
    </row>
    <row r="45" spans="1:8" x14ac:dyDescent="0.3">
      <c r="B45" s="9"/>
      <c r="E45" s="4"/>
      <c r="F45" s="9"/>
      <c r="G45" s="10"/>
      <c r="H45" s="4"/>
    </row>
    <row r="46" spans="1:8" x14ac:dyDescent="0.3">
      <c r="B46" s="9"/>
      <c r="E46" s="4"/>
      <c r="F46" s="9"/>
      <c r="G46" s="10"/>
      <c r="H46" s="4"/>
    </row>
    <row r="47" spans="1:8" x14ac:dyDescent="0.3">
      <c r="B47" s="9"/>
      <c r="E47" s="4"/>
      <c r="F47" s="9"/>
      <c r="G47" s="10"/>
      <c r="H47" s="4"/>
    </row>
    <row r="48" spans="1:8" x14ac:dyDescent="0.3">
      <c r="B48" s="9"/>
      <c r="E48" s="4"/>
      <c r="F48" s="9"/>
      <c r="G48" s="10"/>
      <c r="H48" s="4"/>
    </row>
    <row r="49" spans="1:8" x14ac:dyDescent="0.3">
      <c r="B49" s="9"/>
      <c r="E49" s="4"/>
      <c r="F49" s="9"/>
      <c r="G49" s="10"/>
      <c r="H49" s="4"/>
    </row>
    <row r="50" spans="1:8" x14ac:dyDescent="0.3">
      <c r="B50" s="9"/>
      <c r="E50" s="4"/>
      <c r="F50" s="9"/>
      <c r="G50" s="10"/>
      <c r="H50" s="4"/>
    </row>
    <row r="51" spans="1:8" x14ac:dyDescent="0.3">
      <c r="A51" s="6"/>
      <c r="B51" s="5"/>
      <c r="D51" s="5"/>
      <c r="E51" s="5"/>
      <c r="F51" s="9"/>
      <c r="G51" s="10"/>
      <c r="H51" s="5"/>
    </row>
    <row r="53" spans="1:8" x14ac:dyDescent="0.3">
      <c r="B53" s="6"/>
      <c r="C53" s="6"/>
      <c r="D53" s="6"/>
      <c r="E53" s="6"/>
      <c r="F53" s="6"/>
    </row>
    <row r="54" spans="1:8" x14ac:dyDescent="0.3">
      <c r="B54" s="9"/>
      <c r="E54" s="4"/>
      <c r="F54" s="9"/>
      <c r="G54" s="10"/>
      <c r="H54" s="4"/>
    </row>
    <row r="55" spans="1:8" x14ac:dyDescent="0.3">
      <c r="B55" s="9"/>
      <c r="E55" s="4"/>
      <c r="F55" s="9"/>
      <c r="G55" s="10"/>
      <c r="H55" s="4"/>
    </row>
    <row r="56" spans="1:8" x14ac:dyDescent="0.3">
      <c r="B56" s="9"/>
      <c r="E56" s="4"/>
      <c r="F56" s="9"/>
      <c r="G56" s="10"/>
      <c r="H56" s="4"/>
    </row>
    <row r="57" spans="1:8" x14ac:dyDescent="0.3">
      <c r="B57" s="9"/>
      <c r="E57" s="4"/>
      <c r="F57" s="9"/>
      <c r="G57" s="10"/>
      <c r="H57" s="4"/>
    </row>
    <row r="58" spans="1:8" x14ac:dyDescent="0.3">
      <c r="B58" s="9"/>
      <c r="E58" s="4"/>
      <c r="F58" s="9"/>
      <c r="G58" s="10"/>
      <c r="H58" s="4"/>
    </row>
    <row r="59" spans="1:8" x14ac:dyDescent="0.3">
      <c r="B59" s="9"/>
      <c r="E59" s="4"/>
      <c r="F59" s="9"/>
      <c r="G59" s="10"/>
      <c r="H59" s="4"/>
    </row>
    <row r="60" spans="1:8" x14ac:dyDescent="0.3">
      <c r="B60" s="9"/>
      <c r="E60" s="4"/>
      <c r="F60" s="9"/>
      <c r="G60" s="10"/>
      <c r="H60" s="4"/>
    </row>
    <row r="61" spans="1:8" x14ac:dyDescent="0.3">
      <c r="B61" s="9"/>
      <c r="E61" s="4"/>
      <c r="F61" s="9"/>
      <c r="G61" s="10"/>
      <c r="H61" s="4"/>
    </row>
    <row r="62" spans="1:8" x14ac:dyDescent="0.3">
      <c r="B62" s="9"/>
      <c r="E62" s="4"/>
      <c r="F62" s="9"/>
      <c r="G62" s="10"/>
      <c r="H62" s="4"/>
    </row>
    <row r="63" spans="1:8" x14ac:dyDescent="0.3">
      <c r="A63" s="6"/>
      <c r="B63" s="5"/>
      <c r="D63" s="5"/>
      <c r="E63" s="5"/>
      <c r="F63" s="9"/>
      <c r="G63" s="10"/>
      <c r="H63" s="5"/>
    </row>
    <row r="66" spans="1:8" x14ac:dyDescent="0.3">
      <c r="B66" s="6"/>
      <c r="C66" s="6"/>
      <c r="D66" s="6"/>
      <c r="E66" s="6"/>
      <c r="F66" s="6"/>
    </row>
    <row r="67" spans="1:8" x14ac:dyDescent="0.3">
      <c r="E67" s="4"/>
      <c r="F67" s="4"/>
      <c r="G67" s="10"/>
      <c r="H67" s="4"/>
    </row>
    <row r="68" spans="1:8" x14ac:dyDescent="0.3">
      <c r="E68" s="4"/>
      <c r="F68" s="4"/>
      <c r="G68" s="10"/>
      <c r="H68" s="4"/>
    </row>
    <row r="69" spans="1:8" x14ac:dyDescent="0.3">
      <c r="E69" s="4"/>
      <c r="F69" s="4"/>
      <c r="G69" s="10"/>
      <c r="H69" s="4"/>
    </row>
    <row r="70" spans="1:8" x14ac:dyDescent="0.3">
      <c r="E70" s="4"/>
      <c r="F70" s="4"/>
      <c r="G70" s="10"/>
      <c r="H70" s="4"/>
    </row>
    <row r="71" spans="1:8" x14ac:dyDescent="0.3">
      <c r="E71" s="4"/>
      <c r="F71" s="4"/>
      <c r="G71" s="10"/>
      <c r="H71" s="4"/>
    </row>
    <row r="72" spans="1:8" x14ac:dyDescent="0.3">
      <c r="E72" s="4"/>
      <c r="F72" s="4"/>
      <c r="G72" s="10"/>
      <c r="H72" s="4"/>
    </row>
    <row r="73" spans="1:8" x14ac:dyDescent="0.3">
      <c r="E73" s="4"/>
      <c r="F73" s="4"/>
      <c r="G73" s="10"/>
      <c r="H73" s="4"/>
    </row>
    <row r="74" spans="1:8" x14ac:dyDescent="0.3">
      <c r="E74" s="4"/>
      <c r="F74" s="4"/>
      <c r="G74" s="10"/>
      <c r="H74" s="4"/>
    </row>
    <row r="75" spans="1:8" x14ac:dyDescent="0.3">
      <c r="E75" s="4"/>
      <c r="F75" s="4"/>
      <c r="G75" s="10"/>
      <c r="H75" s="4"/>
    </row>
    <row r="76" spans="1:8" x14ac:dyDescent="0.3">
      <c r="A76" s="6"/>
      <c r="B76" s="5"/>
      <c r="D76" s="5"/>
      <c r="E76" s="5"/>
      <c r="F76" s="5"/>
      <c r="G76" s="11"/>
      <c r="H76" s="5"/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6A900-7A9E-442F-8741-A07C5E86464A}">
  <dimension ref="B1:L73"/>
  <sheetViews>
    <sheetView workbookViewId="0">
      <selection activeCell="I36" sqref="I36:I44"/>
    </sheetView>
  </sheetViews>
  <sheetFormatPr defaultRowHeight="14.4" x14ac:dyDescent="0.3"/>
  <cols>
    <col min="2" max="2" width="23" customWidth="1"/>
    <col min="3" max="3" width="13.109375" customWidth="1"/>
    <col min="5" max="5" width="35.109375" customWidth="1"/>
    <col min="6" max="6" width="13.109375" customWidth="1"/>
    <col min="8" max="8" width="22.33203125" customWidth="1"/>
    <col min="9" max="9" width="13.109375" customWidth="1"/>
    <col min="11" max="11" width="34.6640625" customWidth="1"/>
    <col min="12" max="12" width="13.109375" customWidth="1"/>
  </cols>
  <sheetData>
    <row r="1" spans="2:12" x14ac:dyDescent="0.3">
      <c r="B1" s="35" t="s">
        <v>170</v>
      </c>
      <c r="C1" s="36"/>
      <c r="E1" s="35" t="s">
        <v>146</v>
      </c>
      <c r="F1" s="36"/>
      <c r="H1" s="35" t="s">
        <v>147</v>
      </c>
      <c r="I1" s="36"/>
      <c r="K1" s="35" t="s">
        <v>148</v>
      </c>
      <c r="L1" s="36"/>
    </row>
    <row r="2" spans="2:12" x14ac:dyDescent="0.3">
      <c r="B2" s="21" t="s">
        <v>171</v>
      </c>
      <c r="C2" s="22" t="s">
        <v>1</v>
      </c>
      <c r="E2" s="21" t="s">
        <v>171</v>
      </c>
      <c r="F2" s="22" t="s">
        <v>1</v>
      </c>
      <c r="H2" s="21" t="s">
        <v>171</v>
      </c>
      <c r="I2" s="22" t="s">
        <v>1</v>
      </c>
      <c r="K2" s="21" t="s">
        <v>171</v>
      </c>
      <c r="L2" s="22" t="s">
        <v>1</v>
      </c>
    </row>
    <row r="3" spans="2:12" x14ac:dyDescent="0.3">
      <c r="B3" s="23" t="s">
        <v>166</v>
      </c>
      <c r="C3" s="24">
        <v>75.083628022555672</v>
      </c>
      <c r="E3" s="23" t="s">
        <v>166</v>
      </c>
      <c r="F3" s="24">
        <v>95.153061224489804</v>
      </c>
      <c r="H3" s="23" t="s">
        <v>60</v>
      </c>
      <c r="I3" s="24">
        <v>91.077411391289004</v>
      </c>
      <c r="K3" s="23" t="s">
        <v>169</v>
      </c>
      <c r="L3" s="24">
        <v>93.290734824281145</v>
      </c>
    </row>
    <row r="4" spans="2:12" x14ac:dyDescent="0.3">
      <c r="B4" s="23" t="s">
        <v>94</v>
      </c>
      <c r="C4" s="24">
        <v>81.200420529484859</v>
      </c>
      <c r="E4" s="23" t="s">
        <v>93</v>
      </c>
      <c r="F4" s="24">
        <v>99.107142857142861</v>
      </c>
      <c r="H4" s="23" t="s">
        <v>4</v>
      </c>
      <c r="I4" s="24">
        <v>110.29800740610121</v>
      </c>
      <c r="K4" s="23" t="s">
        <v>61</v>
      </c>
      <c r="L4" s="24">
        <v>99.680511182108631</v>
      </c>
    </row>
    <row r="5" spans="2:12" x14ac:dyDescent="0.3">
      <c r="B5" s="23" t="s">
        <v>95</v>
      </c>
      <c r="C5" s="24">
        <v>89.6874701328491</v>
      </c>
      <c r="E5" s="23" t="s">
        <v>94</v>
      </c>
      <c r="F5" s="24">
        <v>84.566326530612244</v>
      </c>
      <c r="H5" s="23" t="s">
        <v>5</v>
      </c>
      <c r="I5" s="24">
        <v>103.86175277728795</v>
      </c>
      <c r="K5" s="23" t="s">
        <v>62</v>
      </c>
      <c r="L5" s="24">
        <v>88.178913738019176</v>
      </c>
    </row>
    <row r="6" spans="2:12" x14ac:dyDescent="0.3">
      <c r="B6" s="23" t="s">
        <v>96</v>
      </c>
      <c r="C6" s="24">
        <v>101.30937589601453</v>
      </c>
      <c r="E6" s="23" t="s">
        <v>95</v>
      </c>
      <c r="F6" s="24">
        <v>88.520408163265301</v>
      </c>
      <c r="H6" s="23" t="s">
        <v>6</v>
      </c>
      <c r="I6" s="24">
        <v>103.86175277728795</v>
      </c>
      <c r="K6" s="23" t="s">
        <v>63</v>
      </c>
      <c r="L6" s="24">
        <v>81.78913738019169</v>
      </c>
    </row>
    <row r="7" spans="2:12" x14ac:dyDescent="0.3">
      <c r="B7" s="23" t="s">
        <v>97</v>
      </c>
      <c r="C7" s="24">
        <v>106.43218962056773</v>
      </c>
      <c r="E7" s="23" t="s">
        <v>96</v>
      </c>
      <c r="F7" s="24">
        <v>113.13775510204081</v>
      </c>
      <c r="H7" s="23" t="s">
        <v>7</v>
      </c>
      <c r="I7" s="24">
        <v>90.989243519661429</v>
      </c>
      <c r="K7" s="23" t="s">
        <v>64</v>
      </c>
      <c r="L7" s="24">
        <v>103.14924691921497</v>
      </c>
    </row>
    <row r="8" spans="2:12" x14ac:dyDescent="0.3">
      <c r="B8" s="23" t="s">
        <v>98</v>
      </c>
      <c r="C8" s="24">
        <v>103.06795374175668</v>
      </c>
      <c r="E8" s="23" t="s">
        <v>97</v>
      </c>
      <c r="F8" s="24">
        <v>115.05102040816327</v>
      </c>
      <c r="H8" s="23" t="s">
        <v>8</v>
      </c>
      <c r="I8" s="24">
        <v>98.483512608005626</v>
      </c>
      <c r="K8" s="23" t="s">
        <v>65</v>
      </c>
      <c r="L8" s="24">
        <v>92.743039707895932</v>
      </c>
    </row>
    <row r="9" spans="2:12" x14ac:dyDescent="0.3">
      <c r="B9" s="23" t="s">
        <v>99</v>
      </c>
      <c r="C9" s="24">
        <v>105.82051036987481</v>
      </c>
      <c r="E9" s="23" t="s">
        <v>98</v>
      </c>
      <c r="F9" s="24">
        <v>86.479591836734699</v>
      </c>
      <c r="H9" s="23" t="s">
        <v>9</v>
      </c>
      <c r="I9" s="24">
        <v>100.51137365543994</v>
      </c>
      <c r="K9" s="23" t="s">
        <v>66</v>
      </c>
      <c r="L9" s="24">
        <v>92.925604746691008</v>
      </c>
    </row>
    <row r="10" spans="2:12" x14ac:dyDescent="0.3">
      <c r="B10" s="23" t="s">
        <v>100</v>
      </c>
      <c r="C10" s="24">
        <v>81.276880435821468</v>
      </c>
      <c r="E10" s="23" t="s">
        <v>99</v>
      </c>
      <c r="F10" s="24">
        <v>71.556122448979593</v>
      </c>
      <c r="H10" s="23" t="s">
        <v>10</v>
      </c>
      <c r="I10" s="24">
        <v>99.100687709398684</v>
      </c>
      <c r="K10" s="23" t="s">
        <v>67</v>
      </c>
      <c r="L10" s="24">
        <v>97.12460063897764</v>
      </c>
    </row>
    <row r="11" spans="2:12" x14ac:dyDescent="0.3">
      <c r="B11" s="23"/>
      <c r="C11" s="24"/>
      <c r="E11" s="23" t="s">
        <v>100</v>
      </c>
      <c r="F11" s="24">
        <v>105.73979591836735</v>
      </c>
      <c r="H11" s="23" t="s">
        <v>11</v>
      </c>
      <c r="I11" s="24">
        <v>89.225886087109842</v>
      </c>
      <c r="K11" s="23"/>
      <c r="L11" s="24"/>
    </row>
    <row r="12" spans="2:12" x14ac:dyDescent="0.3">
      <c r="B12" s="23" t="s">
        <v>128</v>
      </c>
      <c r="C12" s="24">
        <v>93.969224887699525</v>
      </c>
      <c r="E12" s="23"/>
      <c r="F12" s="24"/>
      <c r="H12" s="23" t="s">
        <v>12</v>
      </c>
      <c r="I12" s="24">
        <v>102.27473108799153</v>
      </c>
      <c r="K12" s="23" t="s">
        <v>68</v>
      </c>
      <c r="L12" s="24">
        <v>95.664080328617075</v>
      </c>
    </row>
    <row r="13" spans="2:12" x14ac:dyDescent="0.3">
      <c r="B13" s="23" t="s">
        <v>129</v>
      </c>
      <c r="C13" s="24">
        <v>105.43821083819174</v>
      </c>
      <c r="E13" s="23" t="s">
        <v>101</v>
      </c>
      <c r="F13" s="24">
        <v>24.23469387755102</v>
      </c>
      <c r="H13" s="23"/>
      <c r="I13" s="24"/>
      <c r="K13" s="23" t="s">
        <v>69</v>
      </c>
      <c r="L13" s="24">
        <v>49.840255591054316</v>
      </c>
    </row>
    <row r="14" spans="2:12" x14ac:dyDescent="0.3">
      <c r="B14" s="23" t="s">
        <v>130</v>
      </c>
      <c r="C14" s="24">
        <v>89.763930039185709</v>
      </c>
      <c r="E14" s="23" t="s">
        <v>102</v>
      </c>
      <c r="F14" s="24">
        <v>26.658163265306122</v>
      </c>
      <c r="H14" s="23" t="s">
        <v>13</v>
      </c>
      <c r="I14" s="24">
        <v>72.121318991359544</v>
      </c>
      <c r="K14" s="23" t="s">
        <v>70</v>
      </c>
      <c r="L14" s="24">
        <v>109.53902327704245</v>
      </c>
    </row>
    <row r="15" spans="2:12" x14ac:dyDescent="0.3">
      <c r="B15" s="23" t="s">
        <v>131</v>
      </c>
      <c r="C15" s="24">
        <v>87.928892287106962</v>
      </c>
      <c r="E15" s="23" t="s">
        <v>103</v>
      </c>
      <c r="F15" s="24">
        <v>23.596938775510203</v>
      </c>
      <c r="H15" s="23" t="s">
        <v>14</v>
      </c>
      <c r="I15" s="24">
        <v>89.754893316875325</v>
      </c>
      <c r="K15" s="23" t="s">
        <v>71</v>
      </c>
      <c r="L15" s="24">
        <v>96.942035600182564</v>
      </c>
    </row>
    <row r="16" spans="2:12" x14ac:dyDescent="0.3">
      <c r="B16" s="23" t="s">
        <v>132</v>
      </c>
      <c r="C16" s="24">
        <v>80.741661091465176</v>
      </c>
      <c r="E16" s="23" t="s">
        <v>104</v>
      </c>
      <c r="F16" s="24">
        <v>27.295918367346939</v>
      </c>
      <c r="H16" s="23" t="s">
        <v>15</v>
      </c>
      <c r="I16" s="24">
        <v>84.905660377358487</v>
      </c>
      <c r="K16" s="23" t="s">
        <v>72</v>
      </c>
      <c r="L16" s="24">
        <v>112.46006389776358</v>
      </c>
    </row>
    <row r="17" spans="2:12" x14ac:dyDescent="0.3">
      <c r="B17" s="23" t="s">
        <v>133</v>
      </c>
      <c r="C17" s="24">
        <v>106.12634999522126</v>
      </c>
      <c r="E17" s="23" t="s">
        <v>105</v>
      </c>
      <c r="F17" s="24">
        <v>24.617346938775512</v>
      </c>
      <c r="H17" s="23" t="s">
        <v>16</v>
      </c>
      <c r="I17" s="24">
        <v>81.290777640627752</v>
      </c>
      <c r="K17" s="23" t="s">
        <v>73</v>
      </c>
      <c r="L17" s="24">
        <v>98.219990871748067</v>
      </c>
    </row>
    <row r="18" spans="2:12" x14ac:dyDescent="0.3">
      <c r="B18" s="23" t="s">
        <v>134</v>
      </c>
      <c r="C18" s="24">
        <v>98.556819267896401</v>
      </c>
      <c r="E18" s="23" t="s">
        <v>106</v>
      </c>
      <c r="F18" s="24">
        <v>30.994897959183675</v>
      </c>
      <c r="H18" s="23" t="s">
        <v>17</v>
      </c>
      <c r="I18" s="24">
        <v>76.617880444366065</v>
      </c>
      <c r="K18" s="23" t="s">
        <v>74</v>
      </c>
      <c r="L18" s="24">
        <v>68.096759470561381</v>
      </c>
    </row>
    <row r="19" spans="2:12" x14ac:dyDescent="0.3">
      <c r="B19" s="23" t="s">
        <v>135</v>
      </c>
      <c r="C19" s="24">
        <v>65.220300105132381</v>
      </c>
      <c r="E19" s="23" t="s">
        <v>107</v>
      </c>
      <c r="F19" s="24">
        <v>34.438775510204081</v>
      </c>
      <c r="H19" s="23" t="s">
        <v>18</v>
      </c>
      <c r="I19" s="24">
        <v>88.25603949920648</v>
      </c>
      <c r="K19" s="23" t="s">
        <v>75</v>
      </c>
      <c r="L19" s="24">
        <v>96.39434048379735</v>
      </c>
    </row>
    <row r="20" spans="2:12" x14ac:dyDescent="0.3">
      <c r="B20" s="23" t="s">
        <v>136</v>
      </c>
      <c r="C20" s="24">
        <v>82.653158749880532</v>
      </c>
      <c r="E20" s="23" t="s">
        <v>108</v>
      </c>
      <c r="F20" s="24">
        <v>28.061224489795919</v>
      </c>
      <c r="H20" s="23" t="s">
        <v>19</v>
      </c>
      <c r="I20" s="24">
        <v>110.65067889261152</v>
      </c>
      <c r="K20" s="23"/>
      <c r="L20" s="24"/>
    </row>
    <row r="21" spans="2:12" x14ac:dyDescent="0.3">
      <c r="B21" s="23"/>
      <c r="C21" s="24"/>
      <c r="E21" s="23" t="s">
        <v>109</v>
      </c>
      <c r="F21" s="24">
        <v>26.147959183673471</v>
      </c>
      <c r="H21" s="23" t="s">
        <v>20</v>
      </c>
      <c r="I21" s="24">
        <v>88.344207370834056</v>
      </c>
      <c r="K21" s="23" t="s">
        <v>76</v>
      </c>
      <c r="L21" s="24">
        <v>109.90415335463258</v>
      </c>
    </row>
    <row r="22" spans="2:12" x14ac:dyDescent="0.3">
      <c r="B22" s="23" t="s">
        <v>137</v>
      </c>
      <c r="C22" s="24">
        <v>116.21905763165441</v>
      </c>
      <c r="E22" s="23"/>
      <c r="F22" s="24"/>
      <c r="H22" s="23" t="s">
        <v>21</v>
      </c>
      <c r="I22" s="24">
        <v>93.193440310350894</v>
      </c>
      <c r="K22" s="23" t="s">
        <v>77</v>
      </c>
      <c r="L22" s="24">
        <v>98.767685988133266</v>
      </c>
    </row>
    <row r="23" spans="2:12" x14ac:dyDescent="0.3">
      <c r="B23" s="23" t="s">
        <v>138</v>
      </c>
      <c r="C23" s="24">
        <v>106.66156933957757</v>
      </c>
      <c r="E23" s="23" t="s">
        <v>110</v>
      </c>
      <c r="F23" s="24">
        <v>134.94897959183675</v>
      </c>
      <c r="H23" s="23" t="s">
        <v>22</v>
      </c>
      <c r="I23" s="24">
        <v>84.729324634103321</v>
      </c>
      <c r="K23" s="23" t="s">
        <v>78</v>
      </c>
      <c r="L23" s="24">
        <v>90.552259242355092</v>
      </c>
    </row>
    <row r="24" spans="2:12" x14ac:dyDescent="0.3">
      <c r="B24" s="23" t="s">
        <v>139</v>
      </c>
      <c r="C24" s="24">
        <v>113.39004109719967</v>
      </c>
      <c r="E24" s="23" t="s">
        <v>111</v>
      </c>
      <c r="F24" s="24">
        <v>130.99489795918367</v>
      </c>
      <c r="H24" s="23"/>
      <c r="I24" s="24"/>
      <c r="K24" s="23" t="s">
        <v>79</v>
      </c>
      <c r="L24" s="24">
        <v>101.50616157005933</v>
      </c>
    </row>
    <row r="25" spans="2:12" x14ac:dyDescent="0.3">
      <c r="B25" s="23" t="s">
        <v>140</v>
      </c>
      <c r="C25" s="24">
        <v>118.13055529006978</v>
      </c>
      <c r="E25" s="23" t="s">
        <v>112</v>
      </c>
      <c r="F25" s="24">
        <v>106.76020408163265</v>
      </c>
      <c r="H25" s="23" t="s">
        <v>23</v>
      </c>
      <c r="I25" s="24">
        <v>125.28654558278961</v>
      </c>
      <c r="K25" s="23" t="s">
        <v>80</v>
      </c>
      <c r="L25" s="24">
        <v>108.26106800547696</v>
      </c>
    </row>
    <row r="26" spans="2:12" x14ac:dyDescent="0.3">
      <c r="B26" s="23" t="s">
        <v>141</v>
      </c>
      <c r="C26" s="24">
        <v>121.80063079422729</v>
      </c>
      <c r="E26" s="23" t="s">
        <v>113</v>
      </c>
      <c r="F26" s="24">
        <v>162.5</v>
      </c>
      <c r="H26" s="23" t="s">
        <v>24</v>
      </c>
      <c r="I26" s="24">
        <v>80.320931052724376</v>
      </c>
      <c r="K26" s="23" t="s">
        <v>81</v>
      </c>
      <c r="L26" s="24">
        <v>90.552259242355092</v>
      </c>
    </row>
    <row r="27" spans="2:12" x14ac:dyDescent="0.3">
      <c r="B27" s="23" t="s">
        <v>142</v>
      </c>
      <c r="C27" s="24">
        <v>97.25700086017396</v>
      </c>
      <c r="E27" s="23" t="s">
        <v>114</v>
      </c>
      <c r="F27" s="24">
        <v>123.34183673469389</v>
      </c>
      <c r="H27" s="23" t="s">
        <v>25</v>
      </c>
      <c r="I27" s="24">
        <v>79.527420208076165</v>
      </c>
      <c r="K27" s="23" t="s">
        <v>82</v>
      </c>
      <c r="L27" s="24">
        <v>80.328617069831125</v>
      </c>
    </row>
    <row r="28" spans="2:12" x14ac:dyDescent="0.3">
      <c r="B28" s="23" t="s">
        <v>143</v>
      </c>
      <c r="C28" s="24">
        <v>88.540571537799877</v>
      </c>
      <c r="E28" s="23" t="s">
        <v>115</v>
      </c>
      <c r="F28" s="24">
        <v>106.50510204081633</v>
      </c>
      <c r="H28" s="23" t="s">
        <v>26</v>
      </c>
      <c r="I28" s="24">
        <v>93.810615411743953</v>
      </c>
      <c r="K28" s="23" t="s">
        <v>83</v>
      </c>
      <c r="L28" s="24">
        <v>96.942035600182564</v>
      </c>
    </row>
    <row r="29" spans="2:12" x14ac:dyDescent="0.3">
      <c r="B29" s="23" t="s">
        <v>144</v>
      </c>
      <c r="C29" s="24">
        <v>91.140208353244773</v>
      </c>
      <c r="E29" s="23" t="s">
        <v>116</v>
      </c>
      <c r="F29" s="24">
        <v>114.03061224489797</v>
      </c>
      <c r="H29" s="23" t="s">
        <v>27</v>
      </c>
      <c r="I29" s="24">
        <v>93.810615411743953</v>
      </c>
      <c r="K29" s="23"/>
      <c r="L29" s="24"/>
    </row>
    <row r="30" spans="2:12" x14ac:dyDescent="0.3">
      <c r="B30" s="23" t="s">
        <v>145</v>
      </c>
      <c r="C30" s="24">
        <v>112.5489821274969</v>
      </c>
      <c r="E30" s="23" t="s">
        <v>117</v>
      </c>
      <c r="F30" s="24">
        <v>179.59183673469389</v>
      </c>
      <c r="H30" s="23" t="s">
        <v>28</v>
      </c>
      <c r="I30" s="24">
        <v>122.81784517721741</v>
      </c>
      <c r="K30" s="23" t="s">
        <v>84</v>
      </c>
      <c r="L30" s="24">
        <v>4.1989958922866268</v>
      </c>
    </row>
    <row r="31" spans="2:12" x14ac:dyDescent="0.3">
      <c r="B31" s="23"/>
      <c r="C31" s="24"/>
      <c r="E31" s="23" t="s">
        <v>118</v>
      </c>
      <c r="F31" s="24">
        <v>146.9387755102041</v>
      </c>
      <c r="H31" s="23" t="s">
        <v>29</v>
      </c>
      <c r="I31" s="24">
        <v>85.434667607123956</v>
      </c>
      <c r="K31" s="23" t="s">
        <v>85</v>
      </c>
      <c r="L31" s="24">
        <v>3.1036056595162025</v>
      </c>
    </row>
    <row r="32" spans="2:12" x14ac:dyDescent="0.3">
      <c r="B32" s="23"/>
      <c r="C32" s="24"/>
      <c r="E32" s="23"/>
      <c r="F32" s="24"/>
      <c r="H32" s="23" t="s">
        <v>30</v>
      </c>
      <c r="I32" s="24">
        <v>72.033151119731968</v>
      </c>
      <c r="K32" s="23" t="s">
        <v>86</v>
      </c>
      <c r="L32" s="24">
        <v>7.6677316293929714</v>
      </c>
    </row>
    <row r="33" spans="2:12" x14ac:dyDescent="0.3">
      <c r="B33" s="21" t="s">
        <v>161</v>
      </c>
      <c r="C33" s="24"/>
      <c r="E33" s="23" t="s">
        <v>119</v>
      </c>
      <c r="F33" s="24">
        <v>117.85714285714286</v>
      </c>
      <c r="H33" s="23" t="s">
        <v>31</v>
      </c>
      <c r="I33" s="24">
        <v>83.494974431317218</v>
      </c>
      <c r="K33" s="23" t="s">
        <v>87</v>
      </c>
      <c r="L33" s="24">
        <v>2.1907804655408487</v>
      </c>
    </row>
    <row r="34" spans="2:12" x14ac:dyDescent="0.3">
      <c r="B34" s="25" t="s">
        <v>157</v>
      </c>
      <c r="C34" s="24"/>
      <c r="E34" s="23" t="s">
        <v>120</v>
      </c>
      <c r="F34" s="24">
        <v>60.204081632653065</v>
      </c>
      <c r="H34" s="23" t="s">
        <v>32</v>
      </c>
      <c r="I34" s="24">
        <v>96.455651560571312</v>
      </c>
      <c r="K34" s="23" t="s">
        <v>88</v>
      </c>
      <c r="L34" s="24">
        <v>5.1118210862619806</v>
      </c>
    </row>
    <row r="35" spans="2:12" x14ac:dyDescent="0.3">
      <c r="B35" s="25" t="s">
        <v>167</v>
      </c>
      <c r="C35" s="24"/>
      <c r="E35" s="23" t="s">
        <v>121</v>
      </c>
      <c r="F35" s="24">
        <v>59.311224489795919</v>
      </c>
      <c r="H35" s="23"/>
      <c r="I35" s="24"/>
      <c r="K35" s="23" t="s">
        <v>89</v>
      </c>
      <c r="L35" s="24">
        <v>3.4687357371063441</v>
      </c>
    </row>
    <row r="36" spans="2:12" x14ac:dyDescent="0.3">
      <c r="B36" s="26" t="s">
        <v>168</v>
      </c>
      <c r="C36" s="27"/>
      <c r="E36" s="23" t="s">
        <v>122</v>
      </c>
      <c r="F36" s="24">
        <v>48.086734693877553</v>
      </c>
      <c r="H36" s="23" t="s">
        <v>33</v>
      </c>
      <c r="I36" s="24">
        <v>5.1137365543995763</v>
      </c>
      <c r="K36" s="23" t="s">
        <v>90</v>
      </c>
      <c r="L36" s="24">
        <v>1.2779552715654952</v>
      </c>
    </row>
    <row r="37" spans="2:12" x14ac:dyDescent="0.3">
      <c r="C37" s="4"/>
      <c r="E37" s="23" t="s">
        <v>123</v>
      </c>
      <c r="F37" s="24">
        <v>87.5</v>
      </c>
      <c r="H37" s="23" t="s">
        <v>34</v>
      </c>
      <c r="I37" s="24">
        <v>3.9675542232410503</v>
      </c>
      <c r="K37" s="23" t="s">
        <v>91</v>
      </c>
      <c r="L37" s="24">
        <v>2.9210406207211319</v>
      </c>
    </row>
    <row r="38" spans="2:12" x14ac:dyDescent="0.3">
      <c r="E38" s="23" t="s">
        <v>124</v>
      </c>
      <c r="F38" s="24">
        <v>99.617346938775512</v>
      </c>
      <c r="H38" s="23" t="s">
        <v>35</v>
      </c>
      <c r="I38" s="24">
        <v>7.5824369599717851</v>
      </c>
      <c r="K38" s="23"/>
      <c r="L38" s="28"/>
    </row>
    <row r="39" spans="2:12" x14ac:dyDescent="0.3">
      <c r="E39" s="23" t="s">
        <v>125</v>
      </c>
      <c r="F39" s="24">
        <v>116.96428571428572</v>
      </c>
      <c r="H39" s="23" t="s">
        <v>36</v>
      </c>
      <c r="I39" s="24">
        <v>6.1717510139305229</v>
      </c>
      <c r="K39" s="23"/>
      <c r="L39" s="28"/>
    </row>
    <row r="40" spans="2:12" x14ac:dyDescent="0.3">
      <c r="E40" s="23" t="s">
        <v>126</v>
      </c>
      <c r="F40" s="24">
        <v>85.459183673469383</v>
      </c>
      <c r="H40" s="23" t="s">
        <v>37</v>
      </c>
      <c r="I40" s="24">
        <v>5.730911655792629</v>
      </c>
      <c r="K40" s="21" t="s">
        <v>161</v>
      </c>
      <c r="L40" s="28"/>
    </row>
    <row r="41" spans="2:12" x14ac:dyDescent="0.3">
      <c r="E41" s="23" t="s">
        <v>127</v>
      </c>
      <c r="F41" s="24">
        <v>72.321428571428569</v>
      </c>
      <c r="H41" s="23" t="s">
        <v>38</v>
      </c>
      <c r="I41" s="24">
        <v>5.6427437841650496</v>
      </c>
      <c r="K41" s="33" t="s">
        <v>162</v>
      </c>
      <c r="L41" s="28"/>
    </row>
    <row r="42" spans="2:12" x14ac:dyDescent="0.3">
      <c r="E42" s="23"/>
      <c r="F42" s="28"/>
      <c r="H42" s="23" t="s">
        <v>39</v>
      </c>
      <c r="I42" s="24">
        <v>6.0835831423029445</v>
      </c>
      <c r="K42" s="33" t="s">
        <v>163</v>
      </c>
      <c r="L42" s="28"/>
    </row>
    <row r="43" spans="2:12" x14ac:dyDescent="0.3">
      <c r="E43" s="23"/>
      <c r="F43" s="28"/>
      <c r="H43" s="23" t="s">
        <v>40</v>
      </c>
      <c r="I43" s="24">
        <v>5.9072473990477867</v>
      </c>
      <c r="K43" s="33" t="s">
        <v>164</v>
      </c>
      <c r="L43" s="28"/>
    </row>
    <row r="44" spans="2:12" x14ac:dyDescent="0.3">
      <c r="E44" s="21" t="s">
        <v>161</v>
      </c>
      <c r="F44" s="28"/>
      <c r="H44" s="23" t="s">
        <v>41</v>
      </c>
      <c r="I44" s="24">
        <v>5.2019044260271547</v>
      </c>
      <c r="K44" s="34" t="s">
        <v>165</v>
      </c>
      <c r="L44" s="29"/>
    </row>
    <row r="45" spans="2:12" x14ac:dyDescent="0.3">
      <c r="E45" s="25" t="s">
        <v>157</v>
      </c>
      <c r="F45" s="28"/>
      <c r="H45" s="23"/>
      <c r="I45" s="24"/>
    </row>
    <row r="46" spans="2:12" x14ac:dyDescent="0.3">
      <c r="E46" s="25" t="s">
        <v>158</v>
      </c>
      <c r="F46" s="28"/>
      <c r="H46" s="23" t="s">
        <v>42</v>
      </c>
      <c r="I46" s="24">
        <v>88.608710985716797</v>
      </c>
    </row>
    <row r="47" spans="2:12" x14ac:dyDescent="0.3">
      <c r="E47" s="25" t="s">
        <v>159</v>
      </c>
      <c r="F47" s="28"/>
      <c r="H47" s="23" t="s">
        <v>43</v>
      </c>
      <c r="I47" s="24">
        <v>93.898783283371529</v>
      </c>
    </row>
    <row r="48" spans="2:12" x14ac:dyDescent="0.3">
      <c r="E48" s="26" t="s">
        <v>160</v>
      </c>
      <c r="F48" s="29"/>
      <c r="H48" s="23" t="s">
        <v>44</v>
      </c>
      <c r="I48" s="24">
        <v>104.83159936519131</v>
      </c>
    </row>
    <row r="49" spans="8:9" x14ac:dyDescent="0.3">
      <c r="H49" s="23" t="s">
        <v>45</v>
      </c>
      <c r="I49" s="24">
        <v>125.28654558278961</v>
      </c>
    </row>
    <row r="50" spans="8:9" x14ac:dyDescent="0.3">
      <c r="H50" s="23" t="s">
        <v>46</v>
      </c>
      <c r="I50" s="24">
        <v>82.172456356903538</v>
      </c>
    </row>
    <row r="51" spans="8:9" x14ac:dyDescent="0.3">
      <c r="H51" s="23" t="s">
        <v>47</v>
      </c>
      <c r="I51" s="24">
        <v>105.7132780814671</v>
      </c>
    </row>
    <row r="52" spans="8:9" x14ac:dyDescent="0.3">
      <c r="H52" s="23" t="s">
        <v>48</v>
      </c>
      <c r="I52" s="24">
        <v>72.121318991359544</v>
      </c>
    </row>
    <row r="53" spans="8:9" x14ac:dyDescent="0.3">
      <c r="H53" s="23" t="s">
        <v>49</v>
      </c>
      <c r="I53" s="24">
        <v>74.413683653676586</v>
      </c>
    </row>
    <row r="54" spans="8:9" x14ac:dyDescent="0.3">
      <c r="H54" s="23" t="s">
        <v>50</v>
      </c>
      <c r="I54" s="24">
        <v>111.79686122377005</v>
      </c>
    </row>
    <row r="55" spans="8:9" x14ac:dyDescent="0.3">
      <c r="H55" s="30"/>
      <c r="I55" s="24"/>
    </row>
    <row r="56" spans="8:9" x14ac:dyDescent="0.3">
      <c r="H56" s="23" t="s">
        <v>51</v>
      </c>
      <c r="I56" s="24">
        <v>32.622112502204196</v>
      </c>
    </row>
    <row r="57" spans="8:9" x14ac:dyDescent="0.3">
      <c r="H57" s="23" t="s">
        <v>52</v>
      </c>
      <c r="I57" s="24">
        <v>30.329747839887141</v>
      </c>
    </row>
    <row r="58" spans="8:9" x14ac:dyDescent="0.3">
      <c r="H58" s="23" t="s">
        <v>53</v>
      </c>
      <c r="I58" s="24">
        <v>41.262563921706928</v>
      </c>
    </row>
    <row r="59" spans="8:9" x14ac:dyDescent="0.3">
      <c r="H59" s="23" t="s">
        <v>54</v>
      </c>
      <c r="I59" s="24">
        <v>27.420208076177037</v>
      </c>
    </row>
    <row r="60" spans="8:9" x14ac:dyDescent="0.3">
      <c r="H60" s="23" t="s">
        <v>55</v>
      </c>
      <c r="I60" s="24">
        <v>35.796155880797031</v>
      </c>
    </row>
    <row r="61" spans="8:9" x14ac:dyDescent="0.3">
      <c r="H61" s="23" t="s">
        <v>56</v>
      </c>
      <c r="I61" s="24">
        <v>32.269441015693879</v>
      </c>
    </row>
    <row r="62" spans="8:9" x14ac:dyDescent="0.3">
      <c r="H62" s="23" t="s">
        <v>57</v>
      </c>
      <c r="I62" s="24">
        <v>37.471345441721034</v>
      </c>
    </row>
    <row r="63" spans="8:9" x14ac:dyDescent="0.3">
      <c r="H63" s="23" t="s">
        <v>58</v>
      </c>
      <c r="I63" s="24">
        <v>29.448069123611354</v>
      </c>
    </row>
    <row r="64" spans="8:9" x14ac:dyDescent="0.3">
      <c r="H64" s="23" t="s">
        <v>59</v>
      </c>
      <c r="I64" s="24">
        <v>36.942338211955558</v>
      </c>
    </row>
    <row r="65" spans="8:9" x14ac:dyDescent="0.3">
      <c r="H65" s="23"/>
      <c r="I65" s="28"/>
    </row>
    <row r="66" spans="8:9" x14ac:dyDescent="0.3">
      <c r="H66" s="23"/>
      <c r="I66" s="28"/>
    </row>
    <row r="67" spans="8:9" x14ac:dyDescent="0.3">
      <c r="H67" s="21" t="s">
        <v>161</v>
      </c>
      <c r="I67" s="28"/>
    </row>
    <row r="68" spans="8:9" x14ac:dyDescent="0.3">
      <c r="H68" s="31" t="s">
        <v>151</v>
      </c>
      <c r="I68" s="28"/>
    </row>
    <row r="69" spans="8:9" x14ac:dyDescent="0.3">
      <c r="H69" s="31" t="s">
        <v>152</v>
      </c>
      <c r="I69" s="28"/>
    </row>
    <row r="70" spans="8:9" x14ac:dyDescent="0.3">
      <c r="H70" s="31" t="s">
        <v>153</v>
      </c>
      <c r="I70" s="28"/>
    </row>
    <row r="71" spans="8:9" x14ac:dyDescent="0.3">
      <c r="H71" s="31" t="s">
        <v>154</v>
      </c>
      <c r="I71" s="28"/>
    </row>
    <row r="72" spans="8:9" x14ac:dyDescent="0.3">
      <c r="H72" s="31" t="s">
        <v>155</v>
      </c>
      <c r="I72" s="28"/>
    </row>
    <row r="73" spans="8:9" x14ac:dyDescent="0.3">
      <c r="H73" s="32" t="s">
        <v>156</v>
      </c>
      <c r="I73" s="29"/>
    </row>
  </sheetData>
  <mergeCells count="4">
    <mergeCell ref="K1:L1"/>
    <mergeCell ref="H1:I1"/>
    <mergeCell ref="E1:F1"/>
    <mergeCell ref="B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A56FC-7AD4-4530-9D3A-38849E69201B}">
  <dimension ref="A1:D37"/>
  <sheetViews>
    <sheetView tabSelected="1" workbookViewId="0">
      <selection activeCell="B15" sqref="B15"/>
    </sheetView>
  </sheetViews>
  <sheetFormatPr defaultRowHeight="14.4" x14ac:dyDescent="0.3"/>
  <cols>
    <col min="1" max="1" width="7.33203125" bestFit="1" customWidth="1"/>
    <col min="2" max="2" width="11.44140625" bestFit="1" customWidth="1"/>
    <col min="3" max="3" width="29" bestFit="1" customWidth="1"/>
    <col min="4" max="4" width="28.77734375" bestFit="1" customWidth="1"/>
  </cols>
  <sheetData>
    <row r="1" spans="1:4" x14ac:dyDescent="0.3">
      <c r="A1" t="s">
        <v>172</v>
      </c>
      <c r="B1" t="s">
        <v>173</v>
      </c>
      <c r="C1" t="s">
        <v>174</v>
      </c>
      <c r="D1" t="s">
        <v>175</v>
      </c>
    </row>
    <row r="2" spans="1:4" x14ac:dyDescent="0.3">
      <c r="A2" s="24">
        <v>75.083628022555672</v>
      </c>
      <c r="B2" s="24">
        <v>116.21905763165441</v>
      </c>
      <c r="C2" s="24">
        <v>117.85714285714286</v>
      </c>
      <c r="D2" s="24">
        <v>5.1137365543995763</v>
      </c>
    </row>
    <row r="3" spans="1:4" x14ac:dyDescent="0.3">
      <c r="A3" s="24">
        <v>81.200420529484859</v>
      </c>
      <c r="B3" s="24">
        <v>106.66156933957757</v>
      </c>
      <c r="C3" s="24">
        <v>60.204081632653065</v>
      </c>
      <c r="D3" s="24">
        <v>3.9675542232410503</v>
      </c>
    </row>
    <row r="4" spans="1:4" x14ac:dyDescent="0.3">
      <c r="A4" s="24">
        <v>89.6874701328491</v>
      </c>
      <c r="B4" s="24">
        <v>113.39004109719967</v>
      </c>
      <c r="C4" s="24">
        <v>59.311224489795919</v>
      </c>
      <c r="D4" s="24">
        <v>7.5824369599717851</v>
      </c>
    </row>
    <row r="5" spans="1:4" x14ac:dyDescent="0.3">
      <c r="A5" s="24">
        <v>101.30937589601453</v>
      </c>
      <c r="B5" s="24">
        <v>118.13055529006978</v>
      </c>
      <c r="C5" s="24">
        <v>48.086734693877553</v>
      </c>
      <c r="D5" s="24">
        <v>6.1717510139305229</v>
      </c>
    </row>
    <row r="6" spans="1:4" x14ac:dyDescent="0.3">
      <c r="A6" s="24">
        <v>106.43218962056773</v>
      </c>
      <c r="B6" s="24">
        <v>121.80063079422729</v>
      </c>
      <c r="C6" s="24">
        <v>87.5</v>
      </c>
      <c r="D6" s="24">
        <v>5.730911655792629</v>
      </c>
    </row>
    <row r="7" spans="1:4" x14ac:dyDescent="0.3">
      <c r="A7" s="24">
        <v>103.06795374175668</v>
      </c>
      <c r="B7" s="24">
        <v>97.25700086017396</v>
      </c>
      <c r="C7" s="24">
        <v>99.617346938775512</v>
      </c>
      <c r="D7" s="24">
        <v>5.6427437841650496</v>
      </c>
    </row>
    <row r="8" spans="1:4" x14ac:dyDescent="0.3">
      <c r="A8" s="24">
        <v>105.82051036987481</v>
      </c>
      <c r="B8" s="24">
        <v>88.540571537799877</v>
      </c>
      <c r="C8" s="24">
        <v>116.96428571428572</v>
      </c>
      <c r="D8" s="24">
        <v>6.0835831423029445</v>
      </c>
    </row>
    <row r="9" spans="1:4" x14ac:dyDescent="0.3">
      <c r="A9" s="24">
        <v>81.276880435821468</v>
      </c>
      <c r="B9" s="24">
        <v>91.140208353244773</v>
      </c>
      <c r="C9" s="24">
        <v>85.459183673469383</v>
      </c>
      <c r="D9" s="24">
        <v>5.9072473990477867</v>
      </c>
    </row>
    <row r="10" spans="1:4" x14ac:dyDescent="0.3">
      <c r="A10" s="24">
        <v>95.153061224489804</v>
      </c>
      <c r="B10" s="24">
        <v>112.5489821274969</v>
      </c>
      <c r="C10" s="24">
        <v>72.321428571428569</v>
      </c>
      <c r="D10" s="24">
        <v>5.2019044260271547</v>
      </c>
    </row>
    <row r="11" spans="1:4" x14ac:dyDescent="0.3">
      <c r="A11" s="24">
        <v>99.107142857142861</v>
      </c>
      <c r="B11" s="24">
        <v>24.23469387755102</v>
      </c>
      <c r="C11" s="24">
        <v>125.28654558278961</v>
      </c>
      <c r="D11" s="24">
        <v>4.1989958922866268</v>
      </c>
    </row>
    <row r="12" spans="1:4" x14ac:dyDescent="0.3">
      <c r="A12" s="24">
        <v>84.566326530612244</v>
      </c>
      <c r="B12" s="24">
        <v>26.658163265306122</v>
      </c>
      <c r="C12" s="24">
        <v>80.320931052724376</v>
      </c>
      <c r="D12" s="24">
        <v>3.1036056595162025</v>
      </c>
    </row>
    <row r="13" spans="1:4" x14ac:dyDescent="0.3">
      <c r="A13" s="24">
        <v>88.520408163265301</v>
      </c>
      <c r="B13" s="24">
        <v>23.596938775510203</v>
      </c>
      <c r="C13" s="24">
        <v>79.527420208076165</v>
      </c>
      <c r="D13" s="24">
        <v>7.6677316293929714</v>
      </c>
    </row>
    <row r="14" spans="1:4" x14ac:dyDescent="0.3">
      <c r="A14" s="24">
        <v>113.13775510204081</v>
      </c>
      <c r="B14" s="24">
        <v>27.295918367346939</v>
      </c>
      <c r="C14" s="24">
        <v>93.810615411743953</v>
      </c>
      <c r="D14" s="24">
        <v>2.1907804655408487</v>
      </c>
    </row>
    <row r="15" spans="1:4" x14ac:dyDescent="0.3">
      <c r="A15" s="24">
        <v>115.05102040816327</v>
      </c>
      <c r="B15" s="24">
        <v>24.617346938775512</v>
      </c>
      <c r="C15" s="24">
        <v>93.810615411743953</v>
      </c>
      <c r="D15" s="24">
        <v>5.1118210862619806</v>
      </c>
    </row>
    <row r="16" spans="1:4" x14ac:dyDescent="0.3">
      <c r="A16" s="24">
        <v>86.479591836734699</v>
      </c>
      <c r="B16" s="24">
        <v>30.994897959183675</v>
      </c>
      <c r="C16" s="24">
        <v>122.81784517721741</v>
      </c>
      <c r="D16" s="24">
        <v>3.4687357371063441</v>
      </c>
    </row>
    <row r="17" spans="1:4" x14ac:dyDescent="0.3">
      <c r="A17" s="24">
        <v>71.556122448979593</v>
      </c>
      <c r="B17" s="24">
        <v>34.438775510204081</v>
      </c>
      <c r="C17" s="24">
        <v>85.434667607123956</v>
      </c>
      <c r="D17" s="24">
        <v>1.2779552715654952</v>
      </c>
    </row>
    <row r="18" spans="1:4" x14ac:dyDescent="0.3">
      <c r="A18" s="24">
        <v>105.73979591836735</v>
      </c>
      <c r="B18" s="24">
        <v>28.061224489795919</v>
      </c>
      <c r="C18" s="24">
        <v>72.033151119731968</v>
      </c>
      <c r="D18" s="24">
        <v>2.9210406207211319</v>
      </c>
    </row>
    <row r="19" spans="1:4" x14ac:dyDescent="0.3">
      <c r="A19" s="24">
        <v>91.077411391289004</v>
      </c>
      <c r="B19" s="24">
        <v>26.147959183673471</v>
      </c>
      <c r="C19" s="24">
        <v>83.494974431317218</v>
      </c>
    </row>
    <row r="20" spans="1:4" x14ac:dyDescent="0.3">
      <c r="A20" s="24">
        <v>110.29800740610121</v>
      </c>
      <c r="B20" s="24">
        <v>72.121318991359544</v>
      </c>
      <c r="C20" s="24">
        <v>96.455651560571312</v>
      </c>
    </row>
    <row r="21" spans="1:4" x14ac:dyDescent="0.3">
      <c r="A21" s="24">
        <v>103.86175277728795</v>
      </c>
      <c r="B21" s="24">
        <v>89.754893316875325</v>
      </c>
      <c r="C21" s="24">
        <v>109.90415335463258</v>
      </c>
    </row>
    <row r="22" spans="1:4" x14ac:dyDescent="0.3">
      <c r="A22" s="24">
        <v>103.86175277728795</v>
      </c>
      <c r="B22" s="24">
        <v>84.905660377358487</v>
      </c>
      <c r="C22" s="24">
        <v>98.767685988133266</v>
      </c>
    </row>
    <row r="23" spans="1:4" x14ac:dyDescent="0.3">
      <c r="A23" s="24">
        <v>90.989243519661429</v>
      </c>
      <c r="B23" s="24">
        <v>81.290777640627752</v>
      </c>
      <c r="C23" s="24">
        <v>90.552259242355092</v>
      </c>
    </row>
    <row r="24" spans="1:4" x14ac:dyDescent="0.3">
      <c r="A24" s="24">
        <v>98.483512608005626</v>
      </c>
      <c r="B24" s="24">
        <v>76.617880444366065</v>
      </c>
      <c r="C24" s="24">
        <v>101.50616157005933</v>
      </c>
    </row>
    <row r="25" spans="1:4" x14ac:dyDescent="0.3">
      <c r="A25" s="24">
        <v>100.51137365543994</v>
      </c>
      <c r="B25" s="24">
        <v>88.25603949920648</v>
      </c>
      <c r="C25" s="24">
        <v>108.26106800547696</v>
      </c>
    </row>
    <row r="26" spans="1:4" x14ac:dyDescent="0.3">
      <c r="A26" s="24">
        <v>99.100687709398684</v>
      </c>
      <c r="B26" s="24">
        <v>110.65067889261152</v>
      </c>
      <c r="C26" s="24">
        <v>90.552259242355092</v>
      </c>
    </row>
    <row r="27" spans="1:4" x14ac:dyDescent="0.3">
      <c r="A27" s="24">
        <v>89.225886087109842</v>
      </c>
      <c r="B27" s="24">
        <v>88.344207370834056</v>
      </c>
      <c r="C27" s="24">
        <v>80.328617069831125</v>
      </c>
    </row>
    <row r="28" spans="1:4" x14ac:dyDescent="0.3">
      <c r="A28" s="24">
        <v>102.27473108799153</v>
      </c>
      <c r="B28" s="24">
        <v>93.193440310350894</v>
      </c>
      <c r="C28" s="24">
        <v>96.942035600182564</v>
      </c>
    </row>
    <row r="29" spans="1:4" x14ac:dyDescent="0.3">
      <c r="A29" s="24">
        <v>93.290734824281145</v>
      </c>
      <c r="B29" s="24">
        <v>84.729324634103321</v>
      </c>
    </row>
    <row r="30" spans="1:4" x14ac:dyDescent="0.3">
      <c r="A30" s="24">
        <v>99.680511182108631</v>
      </c>
      <c r="B30" s="24">
        <v>95.664080328617075</v>
      </c>
    </row>
    <row r="31" spans="1:4" x14ac:dyDescent="0.3">
      <c r="A31" s="24">
        <v>88.178913738019176</v>
      </c>
      <c r="B31" s="24">
        <v>49.840255591054316</v>
      </c>
    </row>
    <row r="32" spans="1:4" x14ac:dyDescent="0.3">
      <c r="A32" s="24">
        <v>81.78913738019169</v>
      </c>
      <c r="B32" s="24">
        <v>109.53902327704245</v>
      </c>
    </row>
    <row r="33" spans="1:2" x14ac:dyDescent="0.3">
      <c r="A33" s="24">
        <v>103.14924691921497</v>
      </c>
      <c r="B33" s="24">
        <v>96.942035600182564</v>
      </c>
    </row>
    <row r="34" spans="1:2" x14ac:dyDescent="0.3">
      <c r="A34" s="24">
        <v>92.743039707895932</v>
      </c>
      <c r="B34" s="24">
        <v>112.46006389776358</v>
      </c>
    </row>
    <row r="35" spans="1:2" x14ac:dyDescent="0.3">
      <c r="A35" s="24">
        <v>92.925604746691008</v>
      </c>
      <c r="B35" s="24">
        <v>98.219990871748067</v>
      </c>
    </row>
    <row r="36" spans="1:2" x14ac:dyDescent="0.3">
      <c r="A36" s="24">
        <v>97.12460063897764</v>
      </c>
      <c r="B36" s="24">
        <v>68.096759470561381</v>
      </c>
    </row>
    <row r="37" spans="1:2" x14ac:dyDescent="0.3">
      <c r="B37" s="24">
        <v>96.39434048379735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Rep1_CPA_Aerosol_03-07-26</vt:lpstr>
      <vt:lpstr>Rep2_CPA_Spray_Rewarmin_031626</vt:lpstr>
      <vt:lpstr>Rep3_CPA_Spray_Rewarmin</vt:lpstr>
      <vt:lpstr>Rep4_CPA_Spray_Rewarmin</vt:lpstr>
      <vt:lpstr>Cell Viability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Kohinoor Khan</dc:creator>
  <cp:lastModifiedBy>joe kangas</cp:lastModifiedBy>
  <dcterms:created xsi:type="dcterms:W3CDTF">2025-05-26T03:07:42Z</dcterms:created>
  <dcterms:modified xsi:type="dcterms:W3CDTF">2026-06-05T02:22:23Z</dcterms:modified>
</cp:coreProperties>
</file>